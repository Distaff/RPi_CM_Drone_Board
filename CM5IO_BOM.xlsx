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Elektronika Schematy\KiCad\IARC-RPi_CM5_drone_platform\"/>
    </mc:Choice>
  </mc:AlternateContent>
  <xr:revisionPtr revIDLastSave="0" documentId="13_ncr:1_{E0BCC745-7B35-4308-85A8-4B8745FCF21F}" xr6:coauthVersionLast="47" xr6:coauthVersionMax="47" xr10:uidLastSave="{00000000-0000-0000-0000-000000000000}"/>
  <bookViews>
    <workbookView xWindow="-28920" yWindow="-120" windowWidth="29040" windowHeight="15840" activeTab="2" xr2:uid="{2D0DF511-CD42-495F-98C8-D8FF06CCC30B}"/>
  </bookViews>
  <sheets>
    <sheet name="Bottom" sheetId="1" r:id="rId1"/>
    <sheet name="Top" sheetId="3" r:id="rId2"/>
    <sheet name="MOUSER ZAMÓWIENI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3" l="1" a="1"/>
  <c r="G32" i="3" s="1"/>
  <c r="G45" i="1" a="1"/>
  <c r="G45" i="1" s="1"/>
  <c r="I45" i="1" a="1"/>
  <c r="I45" i="1" s="1"/>
  <c r="N16" i="1"/>
  <c r="N17" i="1"/>
  <c r="N18" i="1"/>
  <c r="N19" i="1"/>
  <c r="K32" i="3" a="1"/>
  <c r="K32" i="3" s="1"/>
  <c r="K45" i="1" a="1"/>
  <c r="K45" i="1" s="1"/>
  <c r="N10" i="3"/>
  <c r="N4" i="3"/>
  <c r="N5" i="3"/>
  <c r="N6" i="3"/>
  <c r="N7" i="3"/>
  <c r="N8" i="3"/>
  <c r="N9" i="3"/>
  <c r="N3" i="3"/>
  <c r="N15" i="1"/>
  <c r="N4" i="1"/>
  <c r="N5" i="1"/>
  <c r="N6" i="1"/>
  <c r="N7" i="1"/>
  <c r="N8" i="1"/>
  <c r="N9" i="1"/>
  <c r="N10" i="1"/>
  <c r="N11" i="1"/>
  <c r="N12" i="1"/>
  <c r="N13" i="1"/>
  <c r="N14" i="1"/>
  <c r="N3" i="1"/>
  <c r="N2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<sst xmlns="http://schemas.openxmlformats.org/spreadsheetml/2006/main" count="404" uniqueCount="249">
  <si>
    <t>Ilość</t>
  </si>
  <si>
    <t>Ref</t>
  </si>
  <si>
    <t>Value</t>
  </si>
  <si>
    <t>Footprint</t>
  </si>
  <si>
    <t>C2,C5,C7,C8</t>
  </si>
  <si>
    <t>10u</t>
  </si>
  <si>
    <t>C3</t>
  </si>
  <si>
    <t>100uF</t>
  </si>
  <si>
    <t>C9,C12,C13,C18</t>
  </si>
  <si>
    <t>100n</t>
  </si>
  <si>
    <t>CP1</t>
  </si>
  <si>
    <t>10uF</t>
  </si>
  <si>
    <t>CP2,CP3</t>
  </si>
  <si>
    <t>22uF</t>
  </si>
  <si>
    <t>CP4</t>
  </si>
  <si>
    <t>100nF</t>
  </si>
  <si>
    <t>CP5</t>
  </si>
  <si>
    <t>2.7nF</t>
  </si>
  <si>
    <t>CP6</t>
  </si>
  <si>
    <t>33pF</t>
  </si>
  <si>
    <t>CP7</t>
  </si>
  <si>
    <t>10nF</t>
  </si>
  <si>
    <t>D1,D3</t>
  </si>
  <si>
    <t>LED Red</t>
  </si>
  <si>
    <t>D2</t>
  </si>
  <si>
    <t>LED Green</t>
  </si>
  <si>
    <t>J1</t>
  </si>
  <si>
    <t>POWER TERMINAL</t>
  </si>
  <si>
    <t>J2</t>
  </si>
  <si>
    <t>Conn_02x06_Odd_Even</t>
  </si>
  <si>
    <t>J4</t>
  </si>
  <si>
    <t>J_PSU_EN</t>
  </si>
  <si>
    <t>J5,J16</t>
  </si>
  <si>
    <t>Conn_01x22_Female</t>
  </si>
  <si>
    <t>J7</t>
  </si>
  <si>
    <t>Micro_SD_Card_Det</t>
  </si>
  <si>
    <t>J8</t>
  </si>
  <si>
    <t>THD-20-R</t>
  </si>
  <si>
    <t>J11</t>
  </si>
  <si>
    <t>USB_C_Receptacle_USB2.0</t>
  </si>
  <si>
    <t>J12</t>
  </si>
  <si>
    <t>USB3_A</t>
  </si>
  <si>
    <t>J14</t>
  </si>
  <si>
    <t>JST_SHBM04B-SRSS-TB</t>
  </si>
  <si>
    <t>J22</t>
  </si>
  <si>
    <t>46765-1301</t>
  </si>
  <si>
    <t>LP1</t>
  </si>
  <si>
    <t>3.6uH</t>
  </si>
  <si>
    <t>Module1</t>
  </si>
  <si>
    <t>ComputeModule5-CM5</t>
  </si>
  <si>
    <t>R1,R2,R10</t>
  </si>
  <si>
    <t>1k</t>
  </si>
  <si>
    <t>R6,R7,R8,R9</t>
  </si>
  <si>
    <t>2.2K 1%</t>
  </si>
  <si>
    <t>R11,R13</t>
  </si>
  <si>
    <t>10K 1%</t>
  </si>
  <si>
    <t>R12</t>
  </si>
  <si>
    <t>15K 1%</t>
  </si>
  <si>
    <t>RP1</t>
  </si>
  <si>
    <t>115K</t>
  </si>
  <si>
    <t>RP2</t>
  </si>
  <si>
    <t>22.1K</t>
  </si>
  <si>
    <t>RP3</t>
  </si>
  <si>
    <t>15.8K</t>
  </si>
  <si>
    <t>SW1</t>
  </si>
  <si>
    <t>Right angle Tact button</t>
  </si>
  <si>
    <t>U6</t>
  </si>
  <si>
    <t>AP22653W6</t>
  </si>
  <si>
    <t>U12</t>
  </si>
  <si>
    <t>RT9742SNGV</t>
  </si>
  <si>
    <t>U18</t>
  </si>
  <si>
    <t>RT9742GGJ5</t>
  </si>
  <si>
    <t>UP1</t>
  </si>
  <si>
    <t>AP64501SP-13</t>
  </si>
  <si>
    <t>Capacitor_SMD:C_0805_2012Metric</t>
  </si>
  <si>
    <t>Capacitor_Tantalum_SMD:CP_EIA-7343-31_Kemet-D</t>
  </si>
  <si>
    <t>Capacitor_SMD:C_0402_1005Metric</t>
  </si>
  <si>
    <t>Capacitor_Tantalum_SMD:CP_EIA-3528-21_Kemet-B_HandSolder</t>
  </si>
  <si>
    <t>Capacitor_SMD:C_0805_2012Metric_Pad1.18x1.45mm_HandSolder</t>
  </si>
  <si>
    <t>LED_SMD:LED_0603_1608Metric</t>
  </si>
  <si>
    <t>TerminalBlock:TerminalBlock_bornier-2_P5.08mm</t>
  </si>
  <si>
    <t>Connector_PinHeader_2.00mm:PinHeader_2x06_P2.00mm_Vertical</t>
  </si>
  <si>
    <t>Connector_PinHeader_2.54mm:PinHeader_1x02_P2.54mm_Vertical</t>
  </si>
  <si>
    <t>CM5IO:Hirose_FH12-22S-0.5SH_1x22-1MP_P0.50mm_Horizontal</t>
  </si>
  <si>
    <t>CM5IO:SDCARD_MOLEX_503398-1892</t>
  </si>
  <si>
    <t>Connector_PinHeader_2.54mm:PinHeader_2x20_P2.54mm_Vertical</t>
  </si>
  <si>
    <t>Connector_USB:USB_C_Receptacle_GCT_USB4105-xx-A_16P_TopMnt_Horizontal</t>
  </si>
  <si>
    <t>Connector_USB:USB3_A_Molex_48393-001</t>
  </si>
  <si>
    <t>Connector_JST:JST_SH_BM04B-SRSS-TB_1x04-1MP_P1.00mm_Vertical</t>
  </si>
  <si>
    <t>CM5IO:CONN_467651301_MOL</t>
  </si>
  <si>
    <t>Inductor_SMD:L_Bourns-SRN8040_8x8.15mm</t>
  </si>
  <si>
    <t>CM5IO:Raspberry-Pi-5-Compute-Module</t>
  </si>
  <si>
    <t>Resistor_SMD:R_0402_1005Metric</t>
  </si>
  <si>
    <t>Resistor_SMD:R_0805_2012Metric_Pad1.20x1.40mm_HandSolder</t>
  </si>
  <si>
    <t>Button_Switch_SMD:SW_Push_1P1T_NO_CK_KMR2</t>
  </si>
  <si>
    <t>Package_TO_SOT_SMD:SOT-23-6</t>
  </si>
  <si>
    <t>Package_TO_SOT_SMD:TSOT-23_HandSoldering</t>
  </si>
  <si>
    <t>Package_TO_SOT_SMD:SOT-23-5</t>
  </si>
  <si>
    <t>CM5IO:SOP_AP64501SP-13_DIO</t>
  </si>
  <si>
    <t>Desc</t>
  </si>
  <si>
    <t>10uF 10% 10V Ceramic Capacitor X7R 0805 (2012 Metric)</t>
  </si>
  <si>
    <t>0.1uF 10% 16V Ceramic Capacitor X7R 0402 (1005 Metric)</t>
  </si>
  <si>
    <t>Red 620nm LED Indication - Discrete 2.2V 2-SMD, No Lead</t>
  </si>
  <si>
    <t>Green 572nm LED Indication - Discrete 2.2V 2-SMD, No Lead</t>
  </si>
  <si>
    <t>PinHeader_2x06_P2.54mm_Vertical</t>
  </si>
  <si>
    <t>22 Position FFC, FPC Connector Contacts, Bottom 0.020" (0.50mm) Surface Mount, Right Angle</t>
  </si>
  <si>
    <t>9 (8 + 1) Position Card Connector microSDâ„¢ Surface Mount, Right Angle Gold</t>
  </si>
  <si>
    <t>PinHeader_2x20_P2.54mm_Vertical</t>
  </si>
  <si>
    <t>USBC USB2 data and power connector</t>
  </si>
  <si>
    <t>USB 3.0 A connector</t>
  </si>
  <si>
    <t>4 pin vertical 1mm pitch connector</t>
  </si>
  <si>
    <t xml:space="preserve">0.40mm Pitch Micro HDMI Connector, Right-Angle Receptacle, Surface Mount, with Through Hole Shell Tabs and Pick-and-Place Polyimide Tape, 19 Circuits, Lead-Free </t>
  </si>
  <si>
    <t>100 Position Connector Receptacle, Center Strip Contacts Surface Mount Gold</t>
  </si>
  <si>
    <t>Resistor 1K M1005 1% 63mW</t>
  </si>
  <si>
    <t>Resistor 2.2K M1005 1% 63mW</t>
  </si>
  <si>
    <t>Resistor 10K M1005 1% 63mW</t>
  </si>
  <si>
    <t>Resistor 15K M1005 1% 63mW</t>
  </si>
  <si>
    <t>Power Switch/Driver 1:1 P-Channel 2.1A SOT-23-6</t>
  </si>
  <si>
    <t>Power Switch/Driver 1:1 N-Channel 500mA SOT-23-3</t>
  </si>
  <si>
    <t>Power Switch/Driver 1:1 N-Channel 1A TSOT-23-5</t>
  </si>
  <si>
    <t>Part No.</t>
  </si>
  <si>
    <t>Unit Price</t>
  </si>
  <si>
    <t>SML-A12U8TT86Q</t>
  </si>
  <si>
    <t>SML-A12M8TT86N</t>
  </si>
  <si>
    <t>FH12-22S-0.5SH55</t>
  </si>
  <si>
    <t>503398-1892</t>
  </si>
  <si>
    <t>USBF31-0171</t>
  </si>
  <si>
    <t>SHBM04B-SRSS-TB</t>
  </si>
  <si>
    <t>SRN8040HA-3R6M</t>
  </si>
  <si>
    <t>KMR221G LFS</t>
  </si>
  <si>
    <t>48393-0003</t>
  </si>
  <si>
    <t>Code</t>
  </si>
  <si>
    <t>MOUSER</t>
  </si>
  <si>
    <t>TME</t>
  </si>
  <si>
    <t>Farnell</t>
  </si>
  <si>
    <t>-</t>
  </si>
  <si>
    <t>C3,C4</t>
  </si>
  <si>
    <t>C5,C6</t>
  </si>
  <si>
    <t>D1,D2</t>
  </si>
  <si>
    <t>D3,D5</t>
  </si>
  <si>
    <t>D4</t>
  </si>
  <si>
    <t>J3</t>
  </si>
  <si>
    <t>Q1,Q4</t>
  </si>
  <si>
    <t>Q2,Q3</t>
  </si>
  <si>
    <t>R1,R3,R4,R5,R6,R9,R10,R12,R13,R15</t>
  </si>
  <si>
    <t>R2</t>
  </si>
  <si>
    <t>R7,R8</t>
  </si>
  <si>
    <t>R11,R14,R16</t>
  </si>
  <si>
    <t>U1</t>
  </si>
  <si>
    <t>U2</t>
  </si>
  <si>
    <t>U3,U4</t>
  </si>
  <si>
    <t>470nF</t>
  </si>
  <si>
    <t>MBR1020VL</t>
  </si>
  <si>
    <t>J_ESP_DBG_UART</t>
  </si>
  <si>
    <t>J_FC_UART</t>
  </si>
  <si>
    <t>AO3401A</t>
  </si>
  <si>
    <t>Q_NPN_BEC</t>
  </si>
  <si>
    <t>1K</t>
  </si>
  <si>
    <t>5.1K 1%</t>
  </si>
  <si>
    <t>10K</t>
  </si>
  <si>
    <t>ESP32-S3-WROOM-1</t>
  </si>
  <si>
    <t>Wio-SX1262</t>
  </si>
  <si>
    <t>AP7361C-33E</t>
  </si>
  <si>
    <t>Capacitor_Tantalum_SMD:CP_EIA-3216-18_Kemet-A_HandSolder</t>
  </si>
  <si>
    <t>Diode_SMD:D_SOD-123F</t>
  </si>
  <si>
    <t>Connector_PinHeader_2.54mm:PinHeader_1x02_P2.54mm_Vertical_SMD_Pin1Left</t>
  </si>
  <si>
    <t>Connector_Molex:Molex_PicoBlade_53048-0210_1x02_P1.25mm_Horizontal</t>
  </si>
  <si>
    <t>Connector_Molex:Molex_PicoBlade_53048-0810_1x08_P1.25mm_Horizontal</t>
  </si>
  <si>
    <t>Package_TO_SOT_SMD:SOT-23</t>
  </si>
  <si>
    <t>RF_Module:ESP32-S3-WROOM-1U</t>
  </si>
  <si>
    <t>CM5IO_top:Wio-SX1262</t>
  </si>
  <si>
    <t>Package_TO_SOT_SMD:SOT-223-3_TabPin2</t>
  </si>
  <si>
    <t>Seed Studio 114993390</t>
  </si>
  <si>
    <t>SW1,SW2,SW3</t>
  </si>
  <si>
    <t>MX-503398-1892</t>
  </si>
  <si>
    <t>10164227-1001A1RLF</t>
  </si>
  <si>
    <t>KMR221GLFS</t>
  </si>
  <si>
    <t>AP22653W6-7</t>
  </si>
  <si>
    <t>J9,J10</t>
  </si>
  <si>
    <t>TODO: to ma być gniazdo</t>
  </si>
  <si>
    <t>53048-0210</t>
  </si>
  <si>
    <t>53048-0810</t>
  </si>
  <si>
    <t>MBR1020VL-AU-R1</t>
  </si>
  <si>
    <t>MX-53048-0210</t>
  </si>
  <si>
    <t>MX-53048-0810</t>
  </si>
  <si>
    <t>ESP32S3-WRM1U-16R8</t>
  </si>
  <si>
    <t>AP7361C-33E-13</t>
  </si>
  <si>
    <t>MX-48393-0003</t>
  </si>
  <si>
    <t>SM04B-SRSS-TB</t>
  </si>
  <si>
    <t>ERA6AEB1153V</t>
  </si>
  <si>
    <t>08055C272KAT2A</t>
  </si>
  <si>
    <t>08055A330KAT2A</t>
  </si>
  <si>
    <t>08055C103KAT2A</t>
  </si>
  <si>
    <t>08055C104KAT2A</t>
  </si>
  <si>
    <t>08055C105KAT2A</t>
  </si>
  <si>
    <t>08055C474K4T2A</t>
  </si>
  <si>
    <t>04025C104KAT2A</t>
  </si>
  <si>
    <t>SMD0805-15.8K-1%</t>
  </si>
  <si>
    <t>SMD0805-22K1-1%</t>
  </si>
  <si>
    <t>SMD0402-1K-1%</t>
  </si>
  <si>
    <t>SMD0402-2K2-1%</t>
  </si>
  <si>
    <t>SMD0402-10K-1%</t>
  </si>
  <si>
    <t>SMD0402-15K-1%</t>
  </si>
  <si>
    <t>SMD0805-5K1-1%</t>
  </si>
  <si>
    <t>SMD0805-2K2-1%</t>
  </si>
  <si>
    <t>SMD0805-1K-1%</t>
  </si>
  <si>
    <t>SMD0805-10K-1%</t>
  </si>
  <si>
    <t>Qty/ board</t>
  </si>
  <si>
    <t>TAJB475K035R</t>
  </si>
  <si>
    <t>TAJA475K010R</t>
  </si>
  <si>
    <t>4.7uF 35v</t>
  </si>
  <si>
    <t>4.7uF 10v</t>
  </si>
  <si>
    <t>Tantalum, Kemet-B, 22uF@10V min.</t>
  </si>
  <si>
    <t>Kemet-D, 10V</t>
  </si>
  <si>
    <t>TAJB226K016R</t>
  </si>
  <si>
    <t>TAJD106K035R</t>
  </si>
  <si>
    <t>* - equivalent</t>
  </si>
  <si>
    <t>Not necessary, if no SD card is used</t>
  </si>
  <si>
    <t>SUMA</t>
  </si>
  <si>
    <t>min. Il. na 10 płytek</t>
  </si>
  <si>
    <t>SUMA/całość</t>
  </si>
  <si>
    <t>C1,C2,C7,C8</t>
  </si>
  <si>
    <t>SUMA / płytka</t>
  </si>
  <si>
    <t>Tantalum, Kemet-C, 10uF@35V min.</t>
  </si>
  <si>
    <t>Capacitor_Tantalum_SMD:CP_EIA-3528-21_Kemet-C_HandSolder</t>
  </si>
  <si>
    <t>TAJC106K035R</t>
  </si>
  <si>
    <t>LTST-C190KRKT (substitute)</t>
  </si>
  <si>
    <t>LTST-C190KGKT (substitute)</t>
  </si>
  <si>
    <t>USB4105-GF-A-060 (substitute)</t>
  </si>
  <si>
    <t>Will be unused</t>
  </si>
  <si>
    <t>ZL303-2X40P</t>
  </si>
  <si>
    <t>Zwory do J2</t>
  </si>
  <si>
    <t>JUMPER-2.0/B</t>
  </si>
  <si>
    <t>MX-53047-0310</t>
  </si>
  <si>
    <t>53047-0310</t>
  </si>
  <si>
    <t>Connector_Molex:Molex_PicoBlade_53047-0310_1x03_P1.25mm_Vertical</t>
  </si>
  <si>
    <t>LoRa - Antena</t>
  </si>
  <si>
    <t xml:space="preserve">713-114993390 </t>
  </si>
  <si>
    <t xml:space="preserve">835-RT9742GGJ5 </t>
  </si>
  <si>
    <t xml:space="preserve">652-SRN8040HA-3R6M </t>
  </si>
  <si>
    <t xml:space="preserve">538-46765-1301 </t>
  </si>
  <si>
    <t xml:space="preserve">798-FH12-22S-0.5SH55 </t>
  </si>
  <si>
    <t xml:space="preserve">ANTX150P116B08683 </t>
  </si>
  <si>
    <t>Kod</t>
  </si>
  <si>
    <t>DF40C-100DS-0.4V(51) (substitute)</t>
  </si>
  <si>
    <t xml:space="preserve">835-RT9742SNGV </t>
  </si>
  <si>
    <t xml:space="preserve">859-LTST-S270KRKT </t>
  </si>
  <si>
    <t xml:space="preserve">859-LTST-S270KGKT </t>
  </si>
  <si>
    <t>Aternatywa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</si>
</sst>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zł-415]_-;\-* #,##0.00\ [$zł-415]_-;_-* &quot;-&quot;??\ [$zł-415]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8">
    <xf numFmtId="0" fontId="0" fillId="0" borderId="0" xfId="0"/>
    <xf numFmtId="164" fontId="0" fillId="0" borderId="0" xfId="0" applyNumberFormat="1"/>
    <xf numFmtId="0" fontId="0" fillId="0" borderId="16" xfId="0" applyBorder="1"/>
    <xf numFmtId="0" fontId="0" fillId="0" borderId="17" xfId="0" applyBorder="1"/>
    <xf numFmtId="0" fontId="0" fillId="0" borderId="18" xfId="0" applyBorder="1"/>
    <xf numFmtId="164" fontId="0" fillId="3" borderId="25" xfId="0" applyNumberFormat="1" applyFill="1" applyBorder="1"/>
    <xf numFmtId="0" fontId="0" fillId="3" borderId="26" xfId="0" applyFill="1" applyBorder="1"/>
    <xf numFmtId="164" fontId="0" fillId="5" borderId="23" xfId="0" applyNumberFormat="1" applyFill="1" applyBorder="1"/>
    <xf numFmtId="164" fontId="0" fillId="5" borderId="25" xfId="0" applyNumberFormat="1" applyFill="1" applyBorder="1"/>
    <xf numFmtId="164" fontId="0" fillId="2" borderId="23" xfId="0" applyNumberFormat="1" applyFill="1" applyBorder="1"/>
    <xf numFmtId="164" fontId="0" fillId="2" borderId="25" xfId="0" applyNumberFormat="1" applyFill="1" applyBorder="1"/>
    <xf numFmtId="0" fontId="0" fillId="2" borderId="26" xfId="0" applyFill="1" applyBorder="1"/>
    <xf numFmtId="164" fontId="0" fillId="7" borderId="23" xfId="0" applyNumberFormat="1" applyFill="1" applyBorder="1"/>
    <xf numFmtId="164" fontId="0" fillId="7" borderId="25" xfId="0" applyNumberFormat="1" applyFill="1" applyBorder="1"/>
    <xf numFmtId="0" fontId="0" fillId="0" borderId="12" xfId="0" applyBorder="1"/>
    <xf numFmtId="0" fontId="0" fillId="0" borderId="3" xfId="0" applyBorder="1"/>
    <xf numFmtId="0" fontId="0" fillId="0" borderId="21" xfId="0" applyBorder="1"/>
    <xf numFmtId="0" fontId="0" fillId="0" borderId="13" xfId="0" applyBorder="1"/>
    <xf numFmtId="0" fontId="0" fillId="0" borderId="1" xfId="0" applyBorder="1"/>
    <xf numFmtId="0" fontId="0" fillId="0" borderId="22" xfId="0" applyBorder="1"/>
    <xf numFmtId="0" fontId="0" fillId="7" borderId="1" xfId="0" applyFill="1" applyBorder="1"/>
    <xf numFmtId="0" fontId="0" fillId="7" borderId="3" xfId="0" applyFill="1" applyBorder="1"/>
    <xf numFmtId="0" fontId="1" fillId="8" borderId="8" xfId="0" applyFont="1" applyFill="1" applyBorder="1"/>
    <xf numFmtId="0" fontId="1" fillId="6" borderId="20" xfId="0" applyFont="1" applyFill="1" applyBorder="1"/>
    <xf numFmtId="0" fontId="0" fillId="5" borderId="21" xfId="0" applyFill="1" applyBorder="1"/>
    <xf numFmtId="0" fontId="0" fillId="5" borderId="22" xfId="0" applyFill="1" applyBorder="1"/>
    <xf numFmtId="164" fontId="1" fillId="8" borderId="7" xfId="0" applyNumberFormat="1" applyFont="1" applyFill="1" applyBorder="1"/>
    <xf numFmtId="164" fontId="1" fillId="6" borderId="7" xfId="0" applyNumberFormat="1" applyFont="1" applyFill="1" applyBorder="1"/>
    <xf numFmtId="0" fontId="0" fillId="0" borderId="14" xfId="0" applyBorder="1"/>
    <xf numFmtId="0" fontId="0" fillId="0" borderId="10" xfId="0" applyBorder="1"/>
    <xf numFmtId="0" fontId="0" fillId="0" borderId="5" xfId="0" applyBorder="1"/>
    <xf numFmtId="0" fontId="0" fillId="0" borderId="19" xfId="0" applyBorder="1"/>
    <xf numFmtId="164" fontId="0" fillId="7" borderId="4" xfId="0" applyNumberFormat="1" applyFill="1" applyBorder="1"/>
    <xf numFmtId="0" fontId="0" fillId="7" borderId="5" xfId="0" applyFill="1" applyBorder="1"/>
    <xf numFmtId="164" fontId="0" fillId="5" borderId="4" xfId="0" applyNumberFormat="1" applyFill="1" applyBorder="1"/>
    <xf numFmtId="0" fontId="0" fillId="5" borderId="19" xfId="0" applyFill="1" applyBorder="1"/>
    <xf numFmtId="164" fontId="0" fillId="2" borderId="4" xfId="0" applyNumberFormat="1" applyFill="1" applyBorder="1"/>
    <xf numFmtId="0" fontId="0" fillId="2" borderId="6" xfId="0" applyFill="1" applyBorder="1"/>
    <xf numFmtId="0" fontId="0" fillId="0" borderId="15" xfId="0" applyBorder="1"/>
    <xf numFmtId="0" fontId="0" fillId="0" borderId="11" xfId="0" applyBorder="1"/>
    <xf numFmtId="0" fontId="0" fillId="0" borderId="8" xfId="0" applyBorder="1"/>
    <xf numFmtId="0" fontId="0" fillId="0" borderId="20" xfId="0" applyBorder="1"/>
    <xf numFmtId="164" fontId="0" fillId="7" borderId="7" xfId="0" applyNumberFormat="1" applyFill="1" applyBorder="1"/>
    <xf numFmtId="0" fontId="0" fillId="7" borderId="8" xfId="0" applyFill="1" applyBorder="1"/>
    <xf numFmtId="164" fontId="0" fillId="5" borderId="7" xfId="0" applyNumberFormat="1" applyFill="1" applyBorder="1"/>
    <xf numFmtId="0" fontId="0" fillId="5" borderId="20" xfId="0" applyFill="1" applyBorder="1"/>
    <xf numFmtId="164" fontId="0" fillId="2" borderId="7" xfId="0" applyNumberFormat="1" applyFill="1" applyBorder="1"/>
    <xf numFmtId="0" fontId="0" fillId="2" borderId="9" xfId="0" applyFill="1" applyBorder="1"/>
    <xf numFmtId="0" fontId="0" fillId="0" borderId="33" xfId="0" applyBorder="1"/>
    <xf numFmtId="0" fontId="2" fillId="2" borderId="26" xfId="1" applyFill="1" applyBorder="1"/>
    <xf numFmtId="164" fontId="1" fillId="8" borderId="37" xfId="0" applyNumberFormat="1" applyFont="1" applyFill="1" applyBorder="1"/>
    <xf numFmtId="0" fontId="1" fillId="6" borderId="36" xfId="0" applyFont="1" applyFill="1" applyBorder="1"/>
    <xf numFmtId="164" fontId="1" fillId="4" borderId="37" xfId="0" applyNumberFormat="1" applyFont="1" applyFill="1" applyBorder="1"/>
    <xf numFmtId="0" fontId="1" fillId="4" borderId="38" xfId="0" applyFont="1" applyFill="1" applyBorder="1"/>
    <xf numFmtId="0" fontId="2" fillId="2" borderId="9" xfId="1" applyFill="1" applyBorder="1"/>
    <xf numFmtId="0" fontId="2" fillId="2" borderId="6" xfId="1" applyFill="1" applyBorder="1"/>
    <xf numFmtId="0" fontId="2" fillId="5" borderId="22" xfId="1" applyFill="1" applyBorder="1"/>
    <xf numFmtId="0" fontId="2" fillId="2" borderId="24" xfId="1" applyFill="1" applyBorder="1"/>
    <xf numFmtId="0" fontId="2" fillId="2" borderId="27" xfId="1" applyFill="1" applyBorder="1"/>
    <xf numFmtId="0" fontId="0" fillId="9" borderId="39" xfId="0" applyFill="1" applyBorder="1"/>
    <xf numFmtId="0" fontId="0" fillId="9" borderId="34" xfId="0" applyFill="1" applyBorder="1"/>
    <xf numFmtId="0" fontId="0" fillId="9" borderId="35" xfId="0" applyFill="1" applyBorder="1"/>
    <xf numFmtId="0" fontId="0" fillId="9" borderId="36" xfId="0" applyFill="1" applyBorder="1"/>
    <xf numFmtId="164" fontId="0" fillId="9" borderId="37" xfId="0" applyNumberFormat="1" applyFill="1" applyBorder="1"/>
    <xf numFmtId="164" fontId="0" fillId="9" borderId="31" xfId="0" applyNumberFormat="1" applyFill="1" applyBorder="1"/>
    <xf numFmtId="0" fontId="0" fillId="9" borderId="32" xfId="0" applyFill="1" applyBorder="1"/>
    <xf numFmtId="0" fontId="0" fillId="9" borderId="0" xfId="0" applyFill="1"/>
    <xf numFmtId="0" fontId="0" fillId="9" borderId="2" xfId="0" applyFill="1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164" fontId="0" fillId="9" borderId="43" xfId="0" applyNumberFormat="1" applyFill="1" applyBorder="1"/>
    <xf numFmtId="0" fontId="2" fillId="9" borderId="44" xfId="1" applyFill="1" applyBorder="1"/>
    <xf numFmtId="0" fontId="2" fillId="7" borderId="1" xfId="1" applyFill="1" applyBorder="1"/>
    <xf numFmtId="0" fontId="2" fillId="0" borderId="0" xfId="1" applyFill="1" applyBorder="1"/>
    <xf numFmtId="0" fontId="1" fillId="0" borderId="5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0" borderId="39" xfId="0" applyFont="1" applyBorder="1" applyAlignment="1">
      <alignment horizontal="center" wrapText="1"/>
    </xf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6" borderId="29" xfId="0" applyFont="1" applyFill="1" applyBorder="1" applyAlignment="1">
      <alignment horizontal="center"/>
    </xf>
    <xf numFmtId="0" fontId="1" fillId="6" borderId="28" xfId="0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2" fillId="0" borderId="0" xfId="1"/>
    <xf numFmtId="164" fontId="0" fillId="5" borderId="13" xfId="0" applyNumberFormat="1" applyFill="1" applyBorder="1"/>
    <xf numFmtId="164" fontId="1" fillId="6" borderId="34" xfId="0" applyNumberFormat="1" applyFont="1" applyFill="1" applyBorder="1"/>
    <xf numFmtId="164" fontId="0" fillId="5" borderId="10" xfId="0" applyNumberFormat="1" applyFill="1" applyBorder="1"/>
    <xf numFmtId="164" fontId="0" fillId="5" borderId="11" xfId="0" applyNumberFormat="1" applyFill="1" applyBorder="1"/>
    <xf numFmtId="164" fontId="0" fillId="9" borderId="34" xfId="0" applyNumberFormat="1" applyFill="1" applyBorder="1"/>
    <xf numFmtId="164" fontId="0" fillId="5" borderId="12" xfId="0" applyNumberFormat="1" applyFill="1" applyBorder="1"/>
    <xf numFmtId="0" fontId="1" fillId="8" borderId="6" xfId="0" applyFont="1" applyFill="1" applyBorder="1" applyAlignment="1">
      <alignment horizontal="center"/>
    </xf>
    <xf numFmtId="0" fontId="1" fillId="8" borderId="38" xfId="0" applyFont="1" applyFill="1" applyBorder="1"/>
    <xf numFmtId="0" fontId="0" fillId="7" borderId="6" xfId="0" applyFill="1" applyBorder="1"/>
    <xf numFmtId="0" fontId="0" fillId="7" borderId="26" xfId="0" applyFill="1" applyBorder="1"/>
    <xf numFmtId="0" fontId="0" fillId="7" borderId="9" xfId="0" applyFill="1" applyBorder="1"/>
    <xf numFmtId="0" fontId="0" fillId="9" borderId="38" xfId="0" applyFill="1" applyBorder="1"/>
    <xf numFmtId="0" fontId="0" fillId="7" borderId="24" xfId="0" applyFill="1" applyBorder="1"/>
    <xf numFmtId="0" fontId="2" fillId="7" borderId="26" xfId="1" applyFill="1" applyBorder="1"/>
    <xf numFmtId="0" fontId="0" fillId="0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me.eu/pl/details/smd0805-15.8k-1%25/rezystory-smd/royalohm-royal-electronic-fty-co/0805s8f1582t5e/" TargetMode="External"/><Relationship Id="rId18" Type="http://schemas.openxmlformats.org/officeDocument/2006/relationships/hyperlink" Target="https://www.tme.eu/pl/details/ap22653w6-7/power-switches-uklady-scalone/diodes-incorporated/" TargetMode="External"/><Relationship Id="rId26" Type="http://schemas.openxmlformats.org/officeDocument/2006/relationships/hyperlink" Target="https://pl.farnell.com/richtek/rt9742sngv/uswi00154-rt9742sngv/dp/2575555" TargetMode="External"/><Relationship Id="rId39" Type="http://schemas.openxmlformats.org/officeDocument/2006/relationships/hyperlink" Target="https://www.mouser.pl/ProductDetail/LITEON/LTST-S270KGKT?qs=oL5uk4n%2FG821%2FMiCU6RADg%3D%3D" TargetMode="External"/><Relationship Id="rId21" Type="http://schemas.openxmlformats.org/officeDocument/2006/relationships/hyperlink" Target="https://pl.farnell.com/rohm/sml-a12m8tt86/led-yellow-green-25mcd-572nm/dp/3434712" TargetMode="External"/><Relationship Id="rId34" Type="http://schemas.openxmlformats.org/officeDocument/2006/relationships/hyperlink" Target="https://www.mouser.pl/ProductDetail/Molex/46765-1301?qs=73RpG39PUGhn7Y4KPCbKEQ%3D%3D" TargetMode="External"/><Relationship Id="rId7" Type="http://schemas.openxmlformats.org/officeDocument/2006/relationships/hyperlink" Target="https://www.tme.eu/pl/details/smd0402-1k-1%25/rezystory-smd/royalohm-royal-electronic-fty-co/0402wgf1001tce/" TargetMode="External"/><Relationship Id="rId12" Type="http://schemas.openxmlformats.org/officeDocument/2006/relationships/hyperlink" Target="https://www.tme.eu/pl/details/smd0805-22k1-1%25/rezystory-smd/royalohm-royal-electronic-fty-co/0805s8f2212t5e/" TargetMode="External"/><Relationship Id="rId17" Type="http://schemas.openxmlformats.org/officeDocument/2006/relationships/hyperlink" Target="https://www.tme.eu/pl/details/kmr221glfs/mikroprzelaczniki-tact/c-k-components-sas/kmr221g-lfs/" TargetMode="External"/><Relationship Id="rId25" Type="http://schemas.openxmlformats.org/officeDocument/2006/relationships/hyperlink" Target="https://pl.farnell.com/amphenol-communications-solutions/10164227-1001a1rlf/mezzanine-conn-rcpt-100pos-2row/dp/4137104" TargetMode="External"/><Relationship Id="rId33" Type="http://schemas.openxmlformats.org/officeDocument/2006/relationships/hyperlink" Target="https://www.mouser.pl/ProductDetail/Bourns/SRN8040HA-3R6M?qs=2SLPxufLcgCU8ox1jv6zYw%3D%3D" TargetMode="External"/><Relationship Id="rId38" Type="http://schemas.openxmlformats.org/officeDocument/2006/relationships/hyperlink" Target="https://www.mouser.pl/ProductDetail/LITEON/LTST-S270KRKT?qs=NUb82WqeCyrkrhATBGeB1A%3D%3D" TargetMode="External"/><Relationship Id="rId2" Type="http://schemas.openxmlformats.org/officeDocument/2006/relationships/hyperlink" Target="https://www.tme.eu/pl/details/08055a330kat2a/kondensatory-mlcc-smd/kyocera-avx/" TargetMode="External"/><Relationship Id="rId16" Type="http://schemas.openxmlformats.org/officeDocument/2006/relationships/hyperlink" Target="https://www.tme.eu/pl/details/sm04b-srss-tb/zlacza-sygnalowe-raster-1-00mm/jst-j-s-t-deutschland-gmbh/sm04b-srss-tb-lf-sn/" TargetMode="External"/><Relationship Id="rId20" Type="http://schemas.openxmlformats.org/officeDocument/2006/relationships/hyperlink" Target="https://pl.farnell.com/rohm/sml-a12u8tt86/led-red-63mcd-620nm/dp/3434715" TargetMode="External"/><Relationship Id="rId29" Type="http://schemas.openxmlformats.org/officeDocument/2006/relationships/hyperlink" Target="https://www.tme.eu/pl/details/tajc106k035r/kondensatory-tantalowe-smd/kyocera-avx/tajc106k035rnj/" TargetMode="External"/><Relationship Id="rId1" Type="http://schemas.openxmlformats.org/officeDocument/2006/relationships/hyperlink" Target="https://www.tme.eu/pl/details/04025c104kat2a/kondensatory-mlcc-smd/kyocera-avx/" TargetMode="External"/><Relationship Id="rId6" Type="http://schemas.openxmlformats.org/officeDocument/2006/relationships/hyperlink" Target="https://www.tme.eu/pl/details/08055c105kat2a/kondensatory-mlcc-smd/kyocera-avx/" TargetMode="External"/><Relationship Id="rId11" Type="http://schemas.openxmlformats.org/officeDocument/2006/relationships/hyperlink" Target="https://www.tme.eu/pl/details/era6aeb1153v/rezystory-smd/panasonic-industry-europe-gmbh/" TargetMode="External"/><Relationship Id="rId24" Type="http://schemas.openxmlformats.org/officeDocument/2006/relationships/hyperlink" Target="https://pl.farnell.com/bourns/srn8040ha-3r6m/power-inductor-3-6uh-semishielded/dp/4216300" TargetMode="External"/><Relationship Id="rId32" Type="http://schemas.openxmlformats.org/officeDocument/2006/relationships/hyperlink" Target="https://www.mouser.pl/ProductDetail/Richtek/RT9742GGJ5?qs=amGC7iS6iy%2FZU2tAnLZxIA%3D%3D" TargetMode="External"/><Relationship Id="rId37" Type="http://schemas.openxmlformats.org/officeDocument/2006/relationships/hyperlink" Target="https://www.mouser.pl/ProductDetail/Richtek/RT9742SNGV?qs=amGC7iS6iy9IuhGfX55LJA%3D%3D" TargetMode="External"/><Relationship Id="rId40" Type="http://schemas.openxmlformats.org/officeDocument/2006/relationships/hyperlink" Target="https://www.tme.eu/pl/details/jumper-2.0_b/listwy-i-gniazda-kolkowe/ninigi/" TargetMode="External"/><Relationship Id="rId5" Type="http://schemas.openxmlformats.org/officeDocument/2006/relationships/hyperlink" Target="https://www.tme.eu/pl/details/08055c104kat2a/kondensatory-mlcc-smd/kyocera-avx/" TargetMode="External"/><Relationship Id="rId15" Type="http://schemas.openxmlformats.org/officeDocument/2006/relationships/hyperlink" Target="https://www.tme.eu/pl/details/mx-48393-0003/zlacza-usb-i-ieee1394/molex-interconnect-gmbh/48393-0003/" TargetMode="External"/><Relationship Id="rId23" Type="http://schemas.openxmlformats.org/officeDocument/2006/relationships/hyperlink" Target="https://pl.farnell.com/molex/46765-1301/hdmi-connector-rcpt-19pos-smt/dp/2614867" TargetMode="External"/><Relationship Id="rId28" Type="http://schemas.openxmlformats.org/officeDocument/2006/relationships/hyperlink" Target="https://www.tme.eu/pl/details/tajd106k035r/kondensatory-tantalowe-smd/kyocera-avx/tajd106k035rnj/" TargetMode="External"/><Relationship Id="rId36" Type="http://schemas.openxmlformats.org/officeDocument/2006/relationships/hyperlink" Target="https://www.mouser.pl/ProductDetail/Hirose-Connector/DF40C-100DS-0.4V51?qs=eDUdFcBPps2MEwbnuPvZzQ%3D%3D" TargetMode="External"/><Relationship Id="rId10" Type="http://schemas.openxmlformats.org/officeDocument/2006/relationships/hyperlink" Target="https://www.tme.eu/pl/details/smd0402-15k-1%25/rezystory-smd/royalohm-royal-electronic-fty-co/0402wgf1502tce/" TargetMode="External"/><Relationship Id="rId19" Type="http://schemas.openxmlformats.org/officeDocument/2006/relationships/hyperlink" Target="https://www.tme.eu/pl/details/ap64501sp-13/regulatory-napiecia-uklady-dc-dc/diodes-incorporated/" TargetMode="External"/><Relationship Id="rId31" Type="http://schemas.openxmlformats.org/officeDocument/2006/relationships/hyperlink" Target="https://www.tme.eu/pl/details/zl303-2x40p/listwy-i-gniazda-kolkowe/connfly/ds1025-05-2x40p8bv1-b/" TargetMode="External"/><Relationship Id="rId4" Type="http://schemas.openxmlformats.org/officeDocument/2006/relationships/hyperlink" Target="https://www.tme.eu/pl/details/08055c103kat2a/kondensatory-mlcc-smd/kyocera-avx/" TargetMode="External"/><Relationship Id="rId9" Type="http://schemas.openxmlformats.org/officeDocument/2006/relationships/hyperlink" Target="https://www.tme.eu/pl/details/smd0402-10k-1%25/rezystory-smd/royalohm-royal-electronic-fty-co/0402wgf1002tce/" TargetMode="External"/><Relationship Id="rId14" Type="http://schemas.openxmlformats.org/officeDocument/2006/relationships/hyperlink" Target="https://www.tme.eu/pl/details/mx-503398-1892/zlacza-do-kart/molex-interconnect-gmbh/503398-1892/" TargetMode="External"/><Relationship Id="rId22" Type="http://schemas.openxmlformats.org/officeDocument/2006/relationships/hyperlink" Target="https://pl.farnell.com/hirose-hrs/fh12-22s-1sh-55/connector-fpc-ffc-smt-1mm-22way/dp/2300373" TargetMode="External"/><Relationship Id="rId27" Type="http://schemas.openxmlformats.org/officeDocument/2006/relationships/hyperlink" Target="https://www.tme.eu/pl/details/tajb226k016r/kondensatory-tantalowe-smd/kyocera-avx/tajb226k016rnj/" TargetMode="External"/><Relationship Id="rId30" Type="http://schemas.openxmlformats.org/officeDocument/2006/relationships/hyperlink" Target="https://www.tme.eu/pl/details/usb4105-gf-a-060/zlacza-usb-i-ieee1394/gct/" TargetMode="External"/><Relationship Id="rId35" Type="http://schemas.openxmlformats.org/officeDocument/2006/relationships/hyperlink" Target="https://www.mouser.pl/ProductDetail/Hirose-Connector/FH12-22S-0.5SH55?qs=Ux3WWAnHpjDjN9JNAugKTA%3D%3D" TargetMode="External"/><Relationship Id="rId8" Type="http://schemas.openxmlformats.org/officeDocument/2006/relationships/hyperlink" Target="https://www.tme.eu/pl/details/smd0402-2k2-1%25/rezystory-smd/royalohm-royal-electronic-fty-co/0402wgf2201tce/" TargetMode="External"/><Relationship Id="rId3" Type="http://schemas.openxmlformats.org/officeDocument/2006/relationships/hyperlink" Target="https://www.tme.eu/pl/details/08055c272kat2a/kondensatory-mlcc-smd/kyocera-avx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me.eu/pl/details/ltst-c190kgkt/diody-led-smd-kolorowe/lite-on-technology/" TargetMode="External"/><Relationship Id="rId13" Type="http://schemas.openxmlformats.org/officeDocument/2006/relationships/hyperlink" Target="https://www.tme.eu/pl/details/esp32s3-wrm1u-16r8/moduly-iot-wifi-bluetooth/espressif-systems/esp32-s3-wroom-1u-n16r8/" TargetMode="External"/><Relationship Id="rId18" Type="http://schemas.openxmlformats.org/officeDocument/2006/relationships/hyperlink" Target="https://www.tme.eu/pl/details/mx-53047-0310/zlacza-sygnalowe-raster-1-25mm/molex/53047-0310/" TargetMode="External"/><Relationship Id="rId3" Type="http://schemas.openxmlformats.org/officeDocument/2006/relationships/hyperlink" Target="https://www.tme.eu/pl/details/smd0805-1k-1%25/rezystory-smd/royalohm-royal-electronic-fty-co/0805s8f1001t5e/" TargetMode="External"/><Relationship Id="rId7" Type="http://schemas.openxmlformats.org/officeDocument/2006/relationships/hyperlink" Target="https://www.tme.eu/pl/details/ltst-c190krkt/diody-led-smd-kolorowe/lite-on-technology/" TargetMode="External"/><Relationship Id="rId12" Type="http://schemas.openxmlformats.org/officeDocument/2006/relationships/hyperlink" Target="https://www.tme.eu/pl/details/kmr221glfs/mikroprzelaczniki-tact/c-k-components-sas/kmr221g-lfs/" TargetMode="External"/><Relationship Id="rId17" Type="http://schemas.openxmlformats.org/officeDocument/2006/relationships/hyperlink" Target="https://www.tme.eu/pl/details/usb4105-gf-a-060/zlacza-usb-i-ieee1394/gct/" TargetMode="External"/><Relationship Id="rId2" Type="http://schemas.openxmlformats.org/officeDocument/2006/relationships/hyperlink" Target="https://www.tme.eu/pl/details/smd0805-2k2-1%25/rezystory-smd/royalohm-royal-electronic-fty-co/0805s8f2201t5e/" TargetMode="External"/><Relationship Id="rId16" Type="http://schemas.openxmlformats.org/officeDocument/2006/relationships/hyperlink" Target="https://www.tme.eu/pl/details/taja475k010r/kondensatory-tantalowe-smd/kyocera-avx/taja475k010rnj/" TargetMode="External"/><Relationship Id="rId20" Type="http://schemas.openxmlformats.org/officeDocument/2006/relationships/hyperlink" Target="https://www.mouser.pl/ProductDetail/Pulse-Electronics/ANTX150P116B08683?qs=MLItCLRbWsxhiIxzWM7gXA%3D%3D" TargetMode="External"/><Relationship Id="rId1" Type="http://schemas.openxmlformats.org/officeDocument/2006/relationships/hyperlink" Target="https://www.tme.eu/pl/details/smd0805-5k1-1%25/rezystory-smd/royalohm-royal-electronic-fty-co/0805s8f5101t5e/" TargetMode="External"/><Relationship Id="rId6" Type="http://schemas.openxmlformats.org/officeDocument/2006/relationships/hyperlink" Target="https://www.tme.eu/pl/details/mbr1020vl-au-r1/diody-schottky-smd/panjit-semiconductor-panjit-international-inc/mbr1020vl-au-r1-000a1/" TargetMode="External"/><Relationship Id="rId11" Type="http://schemas.openxmlformats.org/officeDocument/2006/relationships/hyperlink" Target="https://www.tme.eu/pl/details/ao3401a/tranzystory-z-kanalem-p-smd/alpha-omega-semiconductor-inc/" TargetMode="External"/><Relationship Id="rId5" Type="http://schemas.openxmlformats.org/officeDocument/2006/relationships/hyperlink" Target="https://www.tme.eu/pl/details/smd0805-10k-1%25/rezystory-smd/royalohm-royal-electronic-fty-co/0805s8f1002t5e/" TargetMode="External"/><Relationship Id="rId15" Type="http://schemas.openxmlformats.org/officeDocument/2006/relationships/hyperlink" Target="https://www.tme.eu/pl/details/tajb475k035r/kondensatory-tantalowe-smd/kyocera-avx/tajb475k035rnj/" TargetMode="External"/><Relationship Id="rId10" Type="http://schemas.openxmlformats.org/officeDocument/2006/relationships/hyperlink" Target="https://www.tme.eu/pl/details/mx-53048-0810/zlacza-sygnalowe-raster-1-25mm/molex-interconnect-gmbh/53048-0810/" TargetMode="External"/><Relationship Id="rId19" Type="http://schemas.openxmlformats.org/officeDocument/2006/relationships/hyperlink" Target="https://www.mouser.pl/ProductDetail/Seeed-Studio/114993390?qs=sGAEpiMZZMsjLMBIknjmkjIuonbyKm5F1A%2F1IbDcCe5Kd5WvEbUwJg%3D%3D" TargetMode="External"/><Relationship Id="rId4" Type="http://schemas.openxmlformats.org/officeDocument/2006/relationships/hyperlink" Target="https://www.tme.eu/pl/details/08055c474k4t2a/kondensatory-mlcc-smd/kyocera-avx/" TargetMode="External"/><Relationship Id="rId9" Type="http://schemas.openxmlformats.org/officeDocument/2006/relationships/hyperlink" Target="https://www.tme.eu/pl/details/mx-53048-0210/zlacza-sygnalowe-raster-1-25mm/molex-interconnect-gmbh/53048-0210/" TargetMode="External"/><Relationship Id="rId14" Type="http://schemas.openxmlformats.org/officeDocument/2006/relationships/hyperlink" Target="https://www.tme.eu/pl/details/ap7361c-33e-13/stabilizatory-napiecia-nieregulowane-ldo/diodes-incorporated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pl/ProductDetail/LITEON/LTST-S270KGKT?qs=oL5uk4n%2FG821%2FMiCU6RADg%3D%3D" TargetMode="External"/><Relationship Id="rId3" Type="http://schemas.openxmlformats.org/officeDocument/2006/relationships/hyperlink" Target="https://www.mouser.pl/ProductDetail/Molex/46765-1301?qs=73RpG39PUGhn7Y4KPCbKEQ%3D%3D" TargetMode="External"/><Relationship Id="rId7" Type="http://schemas.openxmlformats.org/officeDocument/2006/relationships/hyperlink" Target="https://www.mouser.pl/ProductDetail/LITEON/LTST-S270KRKT?qs=NUb82WqeCyrkrhATBGeB1A%3D%3D" TargetMode="External"/><Relationship Id="rId2" Type="http://schemas.openxmlformats.org/officeDocument/2006/relationships/hyperlink" Target="https://www.mouser.pl/ProductDetail/Bourns/SRN8040HA-3R6M?qs=2SLPxufLcgCU8ox1jv6zYw%3D%3D" TargetMode="External"/><Relationship Id="rId1" Type="http://schemas.openxmlformats.org/officeDocument/2006/relationships/hyperlink" Target="https://www.mouser.pl/ProductDetail/Richtek/RT9742GGJ5?qs=amGC7iS6iy%2FZU2tAnLZxIA%3D%3D" TargetMode="External"/><Relationship Id="rId6" Type="http://schemas.openxmlformats.org/officeDocument/2006/relationships/hyperlink" Target="https://www.mouser.pl/ProductDetail/Richtek/RT9742SNGV?qs=amGC7iS6iy9IuhGfX55LJA%3D%3D" TargetMode="External"/><Relationship Id="rId11" Type="http://schemas.openxmlformats.org/officeDocument/2006/relationships/hyperlink" Target="https://www.seeedstudio.com/Wio-SX1262-Wireless-Module-p-5981.html" TargetMode="External"/><Relationship Id="rId5" Type="http://schemas.openxmlformats.org/officeDocument/2006/relationships/hyperlink" Target="https://www.mouser.pl/ProductDetail/Hirose-Connector/DF40C-100DS-0.4V51?qs=eDUdFcBPps2MEwbnuPvZzQ%3D%3D" TargetMode="External"/><Relationship Id="rId10" Type="http://schemas.openxmlformats.org/officeDocument/2006/relationships/hyperlink" Target="https://www.mouser.pl/ProductDetail/Pulse-Electronics/ANTX150P116B08683?qs=MLItCLRbWsxhiIxzWM7gXA%3D%3D" TargetMode="External"/><Relationship Id="rId4" Type="http://schemas.openxmlformats.org/officeDocument/2006/relationships/hyperlink" Target="https://www.mouser.pl/ProductDetail/Hirose-Connector/FH12-22S-0.5SH55?qs=Ux3WWAnHpjDjN9JNAugKTA%3D%3D" TargetMode="External"/><Relationship Id="rId9" Type="http://schemas.openxmlformats.org/officeDocument/2006/relationships/hyperlink" Target="https://www.mouser.pl/ProductDetail/Seeed-Studio/114993390?qs=sGAEpiMZZMsjLMBIknjmkjIuonbyKm5F1A%2F1IbDcCe5Kd5WvEbUwJ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9CC7-4966-44CA-8216-6BC45B8BB38E}">
  <dimension ref="A1:AC62"/>
  <sheetViews>
    <sheetView topLeftCell="A9" zoomScale="90" zoomScaleNormal="90" workbookViewId="0">
      <selection activeCell="D40" sqref="D40"/>
    </sheetView>
  </sheetViews>
  <sheetFormatPr defaultRowHeight="15" x14ac:dyDescent="0.25"/>
  <cols>
    <col min="1" max="1" width="6.28515625" style="4" customWidth="1"/>
    <col min="2" max="2" width="14" customWidth="1"/>
    <col min="3" max="3" width="21.28515625" customWidth="1"/>
    <col min="4" max="4" width="33.7109375" customWidth="1"/>
    <col min="5" max="5" width="34.7109375" customWidth="1"/>
    <col min="6" max="6" width="21.5703125" customWidth="1"/>
    <col min="7" max="7" width="9.85546875" style="13" customWidth="1"/>
    <col min="8" max="8" width="30.140625" style="102" customWidth="1"/>
    <col min="9" max="9" width="9.85546875" style="93" customWidth="1"/>
    <col min="10" max="10" width="30.140625" style="25" customWidth="1"/>
    <col min="11" max="11" width="9.85546875" style="10" customWidth="1"/>
    <col min="12" max="12" width="30.140625" style="11" customWidth="1"/>
    <col min="13" max="13" width="9.85546875" bestFit="1" customWidth="1"/>
  </cols>
  <sheetData>
    <row r="1" spans="1:14" x14ac:dyDescent="0.25">
      <c r="A1" s="79" t="s">
        <v>207</v>
      </c>
      <c r="B1" s="77" t="s">
        <v>1</v>
      </c>
      <c r="C1" s="75" t="s">
        <v>2</v>
      </c>
      <c r="D1" s="75" t="s">
        <v>3</v>
      </c>
      <c r="E1" s="75" t="s">
        <v>99</v>
      </c>
      <c r="F1" s="87" t="s">
        <v>120</v>
      </c>
      <c r="G1" s="81" t="s">
        <v>132</v>
      </c>
      <c r="H1" s="99"/>
      <c r="I1" s="83" t="s">
        <v>134</v>
      </c>
      <c r="J1" s="84"/>
      <c r="K1" s="85" t="s">
        <v>133</v>
      </c>
      <c r="L1" s="86"/>
    </row>
    <row r="2" spans="1:14" ht="15.75" thickBot="1" x14ac:dyDescent="0.3">
      <c r="A2" s="80"/>
      <c r="B2" s="78"/>
      <c r="C2" s="76"/>
      <c r="D2" s="76"/>
      <c r="E2" s="76"/>
      <c r="F2" s="88"/>
      <c r="G2" s="50" t="s">
        <v>121</v>
      </c>
      <c r="H2" s="100" t="s">
        <v>131</v>
      </c>
      <c r="I2" s="94" t="s">
        <v>121</v>
      </c>
      <c r="J2" s="51" t="s">
        <v>131</v>
      </c>
      <c r="K2" s="52" t="s">
        <v>121</v>
      </c>
      <c r="L2" s="53" t="s">
        <v>131</v>
      </c>
      <c r="M2" t="s">
        <v>219</v>
      </c>
    </row>
    <row r="3" spans="1:14" x14ac:dyDescent="0.25">
      <c r="A3" s="28">
        <v>4</v>
      </c>
      <c r="B3" s="29" t="s">
        <v>8</v>
      </c>
      <c r="C3" s="30" t="s">
        <v>9</v>
      </c>
      <c r="D3" s="30" t="s">
        <v>76</v>
      </c>
      <c r="E3" s="30" t="s">
        <v>101</v>
      </c>
      <c r="F3" s="31" t="s">
        <v>135</v>
      </c>
      <c r="G3" s="32"/>
      <c r="H3" s="101"/>
      <c r="I3" s="95"/>
      <c r="J3" s="35"/>
      <c r="K3" s="36">
        <v>3.9190000000000003E-2</v>
      </c>
      <c r="L3" s="55" t="s">
        <v>196</v>
      </c>
      <c r="M3">
        <v>12</v>
      </c>
      <c r="N3" s="1">
        <f>K3*M3</f>
        <v>0.47028000000000003</v>
      </c>
    </row>
    <row r="4" spans="1:14" x14ac:dyDescent="0.25">
      <c r="A4" s="3">
        <v>1</v>
      </c>
      <c r="B4" s="17" t="s">
        <v>18</v>
      </c>
      <c r="C4" s="18" t="s">
        <v>19</v>
      </c>
      <c r="D4" s="18" t="s">
        <v>78</v>
      </c>
      <c r="E4" s="18" t="s">
        <v>135</v>
      </c>
      <c r="F4" s="19" t="s">
        <v>135</v>
      </c>
      <c r="K4" s="10">
        <v>0.20480000000000001</v>
      </c>
      <c r="L4" s="49" t="s">
        <v>191</v>
      </c>
      <c r="M4">
        <v>12</v>
      </c>
      <c r="N4" s="1">
        <f t="shared" ref="N4:N14" si="0">K4*M4</f>
        <v>2.4576000000000002</v>
      </c>
    </row>
    <row r="5" spans="1:14" x14ac:dyDescent="0.25">
      <c r="A5" s="3">
        <v>1</v>
      </c>
      <c r="B5" s="17" t="s">
        <v>16</v>
      </c>
      <c r="C5" s="18" t="s">
        <v>17</v>
      </c>
      <c r="D5" s="18" t="s">
        <v>78</v>
      </c>
      <c r="E5" s="18" t="s">
        <v>135</v>
      </c>
      <c r="F5" s="19" t="s">
        <v>135</v>
      </c>
      <c r="K5" s="10">
        <v>0.18210000000000001</v>
      </c>
      <c r="L5" s="49" t="s">
        <v>190</v>
      </c>
      <c r="M5">
        <v>12</v>
      </c>
      <c r="N5" s="1">
        <f t="shared" si="0"/>
        <v>2.1852</v>
      </c>
    </row>
    <row r="6" spans="1:14" x14ac:dyDescent="0.25">
      <c r="A6" s="3">
        <v>1</v>
      </c>
      <c r="B6" s="17" t="s">
        <v>20</v>
      </c>
      <c r="C6" s="18" t="s">
        <v>21</v>
      </c>
      <c r="D6" s="18" t="s">
        <v>78</v>
      </c>
      <c r="E6" s="18" t="s">
        <v>135</v>
      </c>
      <c r="F6" s="19" t="s">
        <v>135</v>
      </c>
      <c r="K6" s="10">
        <v>0.1421</v>
      </c>
      <c r="L6" s="49" t="s">
        <v>192</v>
      </c>
      <c r="M6">
        <v>12</v>
      </c>
      <c r="N6" s="1">
        <f t="shared" si="0"/>
        <v>1.7052</v>
      </c>
    </row>
    <row r="7" spans="1:14" x14ac:dyDescent="0.25">
      <c r="A7" s="3">
        <v>1</v>
      </c>
      <c r="B7" s="17" t="s">
        <v>14</v>
      </c>
      <c r="C7" s="18" t="s">
        <v>15</v>
      </c>
      <c r="D7" s="18" t="s">
        <v>78</v>
      </c>
      <c r="E7" s="18" t="s">
        <v>135</v>
      </c>
      <c r="F7" s="19" t="s">
        <v>135</v>
      </c>
      <c r="K7" s="10">
        <v>4.1669999999999999E-2</v>
      </c>
      <c r="L7" s="49" t="s">
        <v>193</v>
      </c>
      <c r="M7">
        <v>12</v>
      </c>
      <c r="N7" s="1">
        <f t="shared" si="0"/>
        <v>0.50004000000000004</v>
      </c>
    </row>
    <row r="8" spans="1:14" x14ac:dyDescent="0.25">
      <c r="A8" s="3">
        <v>4</v>
      </c>
      <c r="B8" s="17" t="s">
        <v>4</v>
      </c>
      <c r="C8" s="18" t="s">
        <v>5</v>
      </c>
      <c r="D8" s="18" t="s">
        <v>74</v>
      </c>
      <c r="E8" s="18" t="s">
        <v>100</v>
      </c>
      <c r="F8" s="19" t="s">
        <v>135</v>
      </c>
      <c r="K8" s="10">
        <v>0.28220000000000001</v>
      </c>
      <c r="L8" s="49" t="s">
        <v>194</v>
      </c>
      <c r="M8">
        <v>42</v>
      </c>
      <c r="N8" s="1">
        <f t="shared" si="0"/>
        <v>11.852399999999999</v>
      </c>
    </row>
    <row r="9" spans="1:14" x14ac:dyDescent="0.25">
      <c r="A9" s="3">
        <v>3</v>
      </c>
      <c r="B9" s="17" t="s">
        <v>50</v>
      </c>
      <c r="C9" s="18" t="s">
        <v>51</v>
      </c>
      <c r="D9" s="18" t="s">
        <v>92</v>
      </c>
      <c r="E9" s="18" t="s">
        <v>113</v>
      </c>
      <c r="F9" s="19" t="s">
        <v>135</v>
      </c>
      <c r="K9" s="10">
        <v>3.3119999999999997E-2</v>
      </c>
      <c r="L9" s="49" t="s">
        <v>199</v>
      </c>
      <c r="M9">
        <v>100</v>
      </c>
      <c r="N9" s="1">
        <f>K9*M9</f>
        <v>3.3119999999999998</v>
      </c>
    </row>
    <row r="10" spans="1:14" x14ac:dyDescent="0.25">
      <c r="A10" s="3">
        <v>4</v>
      </c>
      <c r="B10" s="17" t="s">
        <v>52</v>
      </c>
      <c r="C10" s="18" t="s">
        <v>53</v>
      </c>
      <c r="D10" s="18" t="s">
        <v>92</v>
      </c>
      <c r="E10" s="18" t="s">
        <v>114</v>
      </c>
      <c r="F10" s="19" t="s">
        <v>135</v>
      </c>
      <c r="K10" s="10">
        <v>3.9050000000000001E-2</v>
      </c>
      <c r="L10" s="49" t="s">
        <v>200</v>
      </c>
      <c r="M10">
        <v>100</v>
      </c>
      <c r="N10" s="1">
        <f t="shared" si="0"/>
        <v>3.9050000000000002</v>
      </c>
    </row>
    <row r="11" spans="1:14" x14ac:dyDescent="0.25">
      <c r="A11" s="3">
        <v>2</v>
      </c>
      <c r="B11" s="17" t="s">
        <v>54</v>
      </c>
      <c r="C11" s="18" t="s">
        <v>55</v>
      </c>
      <c r="D11" s="18" t="s">
        <v>92</v>
      </c>
      <c r="E11" s="18" t="s">
        <v>115</v>
      </c>
      <c r="F11" s="19" t="s">
        <v>135</v>
      </c>
      <c r="K11" s="10">
        <v>1.7569999999999999E-2</v>
      </c>
      <c r="L11" s="49" t="s">
        <v>201</v>
      </c>
      <c r="M11">
        <v>100</v>
      </c>
      <c r="N11" s="1">
        <f t="shared" si="0"/>
        <v>1.7569999999999999</v>
      </c>
    </row>
    <row r="12" spans="1:14" x14ac:dyDescent="0.25">
      <c r="A12" s="3">
        <v>1</v>
      </c>
      <c r="B12" s="17" t="s">
        <v>56</v>
      </c>
      <c r="C12" s="18" t="s">
        <v>57</v>
      </c>
      <c r="D12" s="18" t="s">
        <v>92</v>
      </c>
      <c r="E12" s="18" t="s">
        <v>116</v>
      </c>
      <c r="F12" s="19" t="s">
        <v>135</v>
      </c>
      <c r="K12" s="10">
        <v>3.6560000000000002E-2</v>
      </c>
      <c r="L12" s="49" t="s">
        <v>202</v>
      </c>
      <c r="M12">
        <v>100</v>
      </c>
      <c r="N12" s="1">
        <f t="shared" si="0"/>
        <v>3.6560000000000001</v>
      </c>
    </row>
    <row r="13" spans="1:14" x14ac:dyDescent="0.25">
      <c r="A13" s="3">
        <v>1</v>
      </c>
      <c r="B13" s="17" t="s">
        <v>58</v>
      </c>
      <c r="C13" s="18" t="s">
        <v>59</v>
      </c>
      <c r="D13" s="18" t="s">
        <v>93</v>
      </c>
      <c r="E13" s="18" t="s">
        <v>135</v>
      </c>
      <c r="F13" s="19" t="s">
        <v>135</v>
      </c>
      <c r="K13" s="10">
        <v>0.21560000000000001</v>
      </c>
      <c r="L13" s="49" t="s">
        <v>189</v>
      </c>
      <c r="M13">
        <v>12</v>
      </c>
      <c r="N13" s="1">
        <f>K13*M13</f>
        <v>2.5872000000000002</v>
      </c>
    </row>
    <row r="14" spans="1:14" x14ac:dyDescent="0.25">
      <c r="A14" s="3">
        <v>1</v>
      </c>
      <c r="B14" s="17" t="s">
        <v>60</v>
      </c>
      <c r="C14" s="18" t="s">
        <v>61</v>
      </c>
      <c r="D14" s="18" t="s">
        <v>93</v>
      </c>
      <c r="E14" s="18" t="s">
        <v>135</v>
      </c>
      <c r="F14" s="19" t="s">
        <v>135</v>
      </c>
      <c r="K14" s="10">
        <v>5.9389999999999998E-2</v>
      </c>
      <c r="L14" s="49" t="s">
        <v>198</v>
      </c>
      <c r="M14">
        <v>100</v>
      </c>
      <c r="N14" s="1">
        <f t="shared" si="0"/>
        <v>5.9390000000000001</v>
      </c>
    </row>
    <row r="15" spans="1:14" x14ac:dyDescent="0.25">
      <c r="A15" s="3">
        <v>1</v>
      </c>
      <c r="B15" s="17" t="s">
        <v>62</v>
      </c>
      <c r="C15" s="18" t="s">
        <v>63</v>
      </c>
      <c r="D15" s="18" t="s">
        <v>93</v>
      </c>
      <c r="E15" s="18" t="s">
        <v>135</v>
      </c>
      <c r="F15" s="19" t="s">
        <v>135</v>
      </c>
      <c r="K15" s="10">
        <v>6.7129999999999995E-2</v>
      </c>
      <c r="L15" s="49" t="s">
        <v>197</v>
      </c>
      <c r="M15">
        <v>100</v>
      </c>
      <c r="N15" s="1">
        <f>K15*M15</f>
        <v>6.7129999999999992</v>
      </c>
    </row>
    <row r="16" spans="1:14" x14ac:dyDescent="0.25">
      <c r="A16" s="3">
        <v>1</v>
      </c>
      <c r="B16" s="17" t="s">
        <v>26</v>
      </c>
      <c r="C16" s="18" t="s">
        <v>27</v>
      </c>
      <c r="D16" s="18" t="s">
        <v>80</v>
      </c>
      <c r="E16" s="18" t="s">
        <v>135</v>
      </c>
      <c r="F16" s="19" t="s">
        <v>135</v>
      </c>
      <c r="L16" s="11" t="s">
        <v>229</v>
      </c>
      <c r="M16" s="1"/>
      <c r="N16" s="1">
        <f t="shared" ref="N16:N19" si="1">K16*M16</f>
        <v>0</v>
      </c>
    </row>
    <row r="17" spans="1:29" x14ac:dyDescent="0.25">
      <c r="A17" s="3">
        <v>1</v>
      </c>
      <c r="B17" s="17" t="s">
        <v>28</v>
      </c>
      <c r="C17" s="18" t="s">
        <v>29</v>
      </c>
      <c r="D17" s="18" t="s">
        <v>81</v>
      </c>
      <c r="E17" s="18" t="s">
        <v>104</v>
      </c>
      <c r="F17" s="19" t="s">
        <v>135</v>
      </c>
      <c r="K17" s="10">
        <v>1.093</v>
      </c>
      <c r="L17" s="58" t="s">
        <v>230</v>
      </c>
      <c r="M17">
        <v>10</v>
      </c>
      <c r="N17" s="1">
        <f t="shared" si="1"/>
        <v>10.93</v>
      </c>
    </row>
    <row r="18" spans="1:29" x14ac:dyDescent="0.25">
      <c r="A18" s="3">
        <v>2</v>
      </c>
      <c r="B18" s="17" t="s">
        <v>28</v>
      </c>
      <c r="C18" s="18"/>
      <c r="D18" s="18"/>
      <c r="E18" s="18" t="s">
        <v>231</v>
      </c>
      <c r="F18" s="19"/>
      <c r="K18" s="10">
        <v>0.29389999999999999</v>
      </c>
      <c r="L18" s="58" t="s">
        <v>232</v>
      </c>
      <c r="M18">
        <v>12</v>
      </c>
      <c r="N18" s="1">
        <f t="shared" si="1"/>
        <v>3.5267999999999997</v>
      </c>
    </row>
    <row r="19" spans="1:29" x14ac:dyDescent="0.25">
      <c r="A19" s="3">
        <v>1</v>
      </c>
      <c r="B19" s="17" t="s">
        <v>30</v>
      </c>
      <c r="C19" s="18" t="s">
        <v>31</v>
      </c>
      <c r="D19" s="18" t="s">
        <v>82</v>
      </c>
      <c r="E19" s="18" t="s">
        <v>135</v>
      </c>
      <c r="F19" s="19" t="s">
        <v>135</v>
      </c>
      <c r="N19" s="1">
        <f t="shared" si="1"/>
        <v>0</v>
      </c>
    </row>
    <row r="20" spans="1:29" ht="15.75" thickBot="1" x14ac:dyDescent="0.3">
      <c r="A20" s="38">
        <v>1</v>
      </c>
      <c r="B20" s="39" t="s">
        <v>36</v>
      </c>
      <c r="C20" s="40" t="s">
        <v>37</v>
      </c>
      <c r="D20" s="40" t="s">
        <v>85</v>
      </c>
      <c r="E20" s="40" t="s">
        <v>107</v>
      </c>
      <c r="F20" s="41" t="s">
        <v>37</v>
      </c>
      <c r="G20" s="42"/>
      <c r="H20" s="103"/>
      <c r="I20" s="96"/>
      <c r="J20" s="45"/>
      <c r="K20" s="46"/>
      <c r="L20" s="47"/>
    </row>
    <row r="21" spans="1:29" x14ac:dyDescent="0.25">
      <c r="A21" s="59"/>
      <c r="B21" s="60"/>
      <c r="C21" s="61"/>
      <c r="D21" s="61"/>
      <c r="E21" s="61"/>
      <c r="F21" s="62"/>
      <c r="G21" s="63"/>
      <c r="H21" s="104"/>
      <c r="I21" s="97"/>
      <c r="J21" s="62"/>
      <c r="K21" s="64"/>
      <c r="L21" s="65"/>
      <c r="M21" t="s">
        <v>218</v>
      </c>
      <c r="N21" s="1">
        <f>SUM(N3:N20)</f>
        <v>61.496720000000003</v>
      </c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</row>
    <row r="22" spans="1:29" x14ac:dyDescent="0.25">
      <c r="A22" s="3">
        <v>1</v>
      </c>
      <c r="B22" s="17" t="s">
        <v>10</v>
      </c>
      <c r="C22" s="18" t="s">
        <v>11</v>
      </c>
      <c r="D22" s="18" t="s">
        <v>224</v>
      </c>
      <c r="E22" s="18" t="s">
        <v>223</v>
      </c>
      <c r="F22" s="19" t="s">
        <v>135</v>
      </c>
      <c r="K22" s="10">
        <v>3.7360000000000002</v>
      </c>
      <c r="L22" s="49" t="s">
        <v>225</v>
      </c>
    </row>
    <row r="23" spans="1:29" x14ac:dyDescent="0.25">
      <c r="A23" s="3">
        <v>2</v>
      </c>
      <c r="B23" s="17" t="s">
        <v>12</v>
      </c>
      <c r="C23" s="18" t="s">
        <v>13</v>
      </c>
      <c r="D23" s="18" t="s">
        <v>77</v>
      </c>
      <c r="E23" s="18" t="s">
        <v>212</v>
      </c>
      <c r="F23" s="19" t="s">
        <v>135</v>
      </c>
      <c r="K23" s="10">
        <v>1.643</v>
      </c>
      <c r="L23" s="49" t="s">
        <v>214</v>
      </c>
    </row>
    <row r="24" spans="1:29" x14ac:dyDescent="0.25">
      <c r="A24" s="2">
        <v>1</v>
      </c>
      <c r="B24" s="14" t="s">
        <v>6</v>
      </c>
      <c r="C24" s="15" t="s">
        <v>7</v>
      </c>
      <c r="D24" s="15" t="s">
        <v>75</v>
      </c>
      <c r="E24" s="15" t="s">
        <v>213</v>
      </c>
      <c r="F24" s="16" t="s">
        <v>135</v>
      </c>
      <c r="G24" s="12"/>
      <c r="H24" s="105"/>
      <c r="I24" s="98"/>
      <c r="J24" s="24"/>
      <c r="K24" s="10">
        <v>2.2789999999999999</v>
      </c>
      <c r="L24" s="49" t="s">
        <v>215</v>
      </c>
    </row>
    <row r="25" spans="1:29" x14ac:dyDescent="0.25">
      <c r="A25" s="3">
        <v>2</v>
      </c>
      <c r="B25" s="17" t="s">
        <v>22</v>
      </c>
      <c r="C25" s="18" t="s">
        <v>23</v>
      </c>
      <c r="D25" s="18" t="s">
        <v>79</v>
      </c>
      <c r="E25" s="18" t="s">
        <v>102</v>
      </c>
      <c r="F25" s="19" t="s">
        <v>122</v>
      </c>
      <c r="G25" s="13">
        <v>0.38300000000000001</v>
      </c>
      <c r="H25" s="106" t="s">
        <v>246</v>
      </c>
      <c r="I25" s="93">
        <v>1.65</v>
      </c>
      <c r="J25" s="56">
        <v>3434715</v>
      </c>
      <c r="K25" s="10">
        <v>0</v>
      </c>
      <c r="L25" s="11" t="s">
        <v>135</v>
      </c>
    </row>
    <row r="26" spans="1:29" x14ac:dyDescent="0.25">
      <c r="A26" s="3">
        <v>1</v>
      </c>
      <c r="B26" s="17" t="s">
        <v>24</v>
      </c>
      <c r="C26" s="18" t="s">
        <v>25</v>
      </c>
      <c r="D26" s="18" t="s">
        <v>79</v>
      </c>
      <c r="E26" s="18" t="s">
        <v>103</v>
      </c>
      <c r="F26" s="19" t="s">
        <v>123</v>
      </c>
      <c r="G26" s="13">
        <v>0.30499999999999999</v>
      </c>
      <c r="H26" s="106" t="s">
        <v>247</v>
      </c>
      <c r="I26" s="93">
        <v>1.64</v>
      </c>
      <c r="J26" s="56">
        <v>3434712</v>
      </c>
      <c r="K26" s="10">
        <v>0</v>
      </c>
      <c r="L26" s="11" t="s">
        <v>135</v>
      </c>
    </row>
    <row r="27" spans="1:29" x14ac:dyDescent="0.25">
      <c r="A27" s="3">
        <v>2</v>
      </c>
      <c r="B27" s="17" t="s">
        <v>32</v>
      </c>
      <c r="C27" s="18" t="s">
        <v>33</v>
      </c>
      <c r="D27" s="18" t="s">
        <v>83</v>
      </c>
      <c r="E27" s="18" t="s">
        <v>105</v>
      </c>
      <c r="F27" s="19" t="s">
        <v>124</v>
      </c>
      <c r="G27" s="13">
        <v>5.68</v>
      </c>
      <c r="H27" s="106" t="s">
        <v>241</v>
      </c>
      <c r="I27" s="93">
        <v>7.17</v>
      </c>
      <c r="J27" s="56">
        <v>2300373</v>
      </c>
      <c r="K27" s="10">
        <v>0</v>
      </c>
      <c r="L27" s="11" t="s">
        <v>135</v>
      </c>
    </row>
    <row r="28" spans="1:29" x14ac:dyDescent="0.25">
      <c r="A28" s="3">
        <v>1</v>
      </c>
      <c r="B28" s="17" t="s">
        <v>34</v>
      </c>
      <c r="C28" s="18" t="s">
        <v>35</v>
      </c>
      <c r="D28" s="18" t="s">
        <v>84</v>
      </c>
      <c r="E28" s="18" t="s">
        <v>106</v>
      </c>
      <c r="F28" s="19" t="s">
        <v>125</v>
      </c>
      <c r="K28" s="10">
        <v>8.41</v>
      </c>
      <c r="L28" s="49" t="s">
        <v>174</v>
      </c>
      <c r="M28" t="s">
        <v>217</v>
      </c>
    </row>
    <row r="29" spans="1:29" x14ac:dyDescent="0.25">
      <c r="A29" s="3">
        <v>1</v>
      </c>
      <c r="B29" s="17" t="s">
        <v>38</v>
      </c>
      <c r="C29" s="18" t="s">
        <v>39</v>
      </c>
      <c r="D29" s="18" t="s">
        <v>86</v>
      </c>
      <c r="E29" s="18" t="s">
        <v>108</v>
      </c>
      <c r="F29" s="19" t="s">
        <v>126</v>
      </c>
      <c r="K29" s="10">
        <v>2.5059999999999998</v>
      </c>
      <c r="L29" s="49" t="s">
        <v>228</v>
      </c>
    </row>
    <row r="30" spans="1:29" x14ac:dyDescent="0.25">
      <c r="A30" s="3">
        <v>1</v>
      </c>
      <c r="B30" s="17" t="s">
        <v>40</v>
      </c>
      <c r="C30" s="18" t="s">
        <v>41</v>
      </c>
      <c r="D30" s="18" t="s">
        <v>87</v>
      </c>
      <c r="E30" s="18" t="s">
        <v>109</v>
      </c>
      <c r="F30" s="19" t="s">
        <v>130</v>
      </c>
      <c r="K30" s="10">
        <v>9.67</v>
      </c>
      <c r="L30" s="49" t="s">
        <v>187</v>
      </c>
    </row>
    <row r="31" spans="1:29" x14ac:dyDescent="0.25">
      <c r="A31" s="3">
        <v>1</v>
      </c>
      <c r="B31" s="17" t="s">
        <v>42</v>
      </c>
      <c r="C31" s="18" t="s">
        <v>43</v>
      </c>
      <c r="D31" s="18" t="s">
        <v>88</v>
      </c>
      <c r="E31" s="18" t="s">
        <v>110</v>
      </c>
      <c r="F31" s="19" t="s">
        <v>127</v>
      </c>
      <c r="K31" s="10">
        <v>1.4419999999999999</v>
      </c>
      <c r="L31" s="49" t="s">
        <v>188</v>
      </c>
    </row>
    <row r="32" spans="1:29" x14ac:dyDescent="0.25">
      <c r="A32" s="3">
        <v>1</v>
      </c>
      <c r="B32" s="17" t="s">
        <v>44</v>
      </c>
      <c r="C32" s="18" t="s">
        <v>45</v>
      </c>
      <c r="D32" s="18" t="s">
        <v>89</v>
      </c>
      <c r="E32" s="18" t="s">
        <v>111</v>
      </c>
      <c r="F32" s="19" t="s">
        <v>45</v>
      </c>
      <c r="G32" s="13">
        <v>7.7</v>
      </c>
      <c r="H32" s="106" t="s">
        <v>240</v>
      </c>
      <c r="I32" s="93">
        <v>8.82</v>
      </c>
      <c r="J32" s="56">
        <v>2614867</v>
      </c>
      <c r="K32" s="10">
        <v>0</v>
      </c>
      <c r="L32" s="11" t="s">
        <v>135</v>
      </c>
    </row>
    <row r="33" spans="1:13" x14ac:dyDescent="0.25">
      <c r="A33" s="3">
        <v>1</v>
      </c>
      <c r="B33" s="17" t="s">
        <v>46</v>
      </c>
      <c r="C33" s="18" t="s">
        <v>47</v>
      </c>
      <c r="D33" s="18" t="s">
        <v>90</v>
      </c>
      <c r="E33" s="18" t="s">
        <v>135</v>
      </c>
      <c r="F33" s="19" t="s">
        <v>128</v>
      </c>
      <c r="G33" s="13">
        <v>1.7</v>
      </c>
      <c r="H33" s="106" t="s">
        <v>239</v>
      </c>
      <c r="I33" s="93">
        <v>2.52</v>
      </c>
      <c r="J33" s="56">
        <v>4216300</v>
      </c>
      <c r="K33" s="10">
        <v>0</v>
      </c>
      <c r="L33" s="11" t="s">
        <v>135</v>
      </c>
    </row>
    <row r="34" spans="1:13" x14ac:dyDescent="0.25">
      <c r="A34" s="3">
        <v>2</v>
      </c>
      <c r="B34" s="17" t="s">
        <v>48</v>
      </c>
      <c r="C34" s="18" t="s">
        <v>49</v>
      </c>
      <c r="D34" s="18" t="s">
        <v>91</v>
      </c>
      <c r="E34" s="18" t="s">
        <v>112</v>
      </c>
      <c r="F34" s="19" t="s">
        <v>175</v>
      </c>
      <c r="G34" s="13">
        <v>5.5529999999999999</v>
      </c>
      <c r="H34" s="106" t="s">
        <v>244</v>
      </c>
      <c r="I34" s="93">
        <v>7.43</v>
      </c>
      <c r="J34" s="56">
        <v>4137104</v>
      </c>
      <c r="K34" s="10">
        <v>0</v>
      </c>
      <c r="L34" s="11" t="s">
        <v>135</v>
      </c>
    </row>
    <row r="35" spans="1:13" x14ac:dyDescent="0.25">
      <c r="A35" s="3">
        <v>1</v>
      </c>
      <c r="B35" s="17" t="s">
        <v>64</v>
      </c>
      <c r="C35" s="18" t="s">
        <v>65</v>
      </c>
      <c r="D35" s="18" t="s">
        <v>94</v>
      </c>
      <c r="E35" s="18" t="s">
        <v>135</v>
      </c>
      <c r="F35" s="19" t="s">
        <v>129</v>
      </c>
      <c r="K35" s="10">
        <v>1.0469999999999999</v>
      </c>
      <c r="L35" s="49" t="s">
        <v>176</v>
      </c>
    </row>
    <row r="36" spans="1:13" x14ac:dyDescent="0.25">
      <c r="A36" s="3">
        <v>1</v>
      </c>
      <c r="B36" s="17" t="s">
        <v>66</v>
      </c>
      <c r="C36" s="18" t="s">
        <v>67</v>
      </c>
      <c r="D36" s="18" t="s">
        <v>95</v>
      </c>
      <c r="E36" s="18" t="s">
        <v>117</v>
      </c>
      <c r="F36" s="19" t="s">
        <v>67</v>
      </c>
      <c r="K36" s="10">
        <v>1.45</v>
      </c>
      <c r="L36" s="49" t="s">
        <v>177</v>
      </c>
    </row>
    <row r="37" spans="1:13" x14ac:dyDescent="0.25">
      <c r="A37" s="3">
        <v>1</v>
      </c>
      <c r="B37" s="17" t="s">
        <v>68</v>
      </c>
      <c r="C37" s="18" t="s">
        <v>69</v>
      </c>
      <c r="D37" s="18" t="s">
        <v>96</v>
      </c>
      <c r="E37" s="18" t="s">
        <v>118</v>
      </c>
      <c r="F37" s="19" t="s">
        <v>69</v>
      </c>
      <c r="G37" s="13">
        <v>1.04</v>
      </c>
      <c r="H37" s="106" t="s">
        <v>245</v>
      </c>
      <c r="I37" s="93">
        <v>1.5</v>
      </c>
      <c r="J37" s="56">
        <v>2575555</v>
      </c>
      <c r="K37" s="10">
        <v>0</v>
      </c>
      <c r="L37" s="11" t="s">
        <v>135</v>
      </c>
    </row>
    <row r="38" spans="1:13" x14ac:dyDescent="0.25">
      <c r="A38" s="3">
        <v>1</v>
      </c>
      <c r="B38" s="17" t="s">
        <v>70</v>
      </c>
      <c r="C38" s="18" t="s">
        <v>71</v>
      </c>
      <c r="D38" s="18" t="s">
        <v>97</v>
      </c>
      <c r="E38" s="18" t="s">
        <v>119</v>
      </c>
      <c r="F38" s="19" t="s">
        <v>71</v>
      </c>
      <c r="G38" s="13">
        <v>1.19</v>
      </c>
      <c r="H38" s="106" t="s">
        <v>238</v>
      </c>
      <c r="I38" s="93">
        <v>0</v>
      </c>
      <c r="J38" s="25" t="s">
        <v>135</v>
      </c>
      <c r="K38" s="10">
        <v>0</v>
      </c>
      <c r="L38" s="11" t="s">
        <v>135</v>
      </c>
      <c r="M38" t="s">
        <v>217</v>
      </c>
    </row>
    <row r="39" spans="1:13" x14ac:dyDescent="0.25">
      <c r="A39" s="3">
        <v>1</v>
      </c>
      <c r="B39" s="17" t="s">
        <v>72</v>
      </c>
      <c r="C39" s="18" t="s">
        <v>73</v>
      </c>
      <c r="D39" s="18" t="s">
        <v>98</v>
      </c>
      <c r="E39" s="18" t="s">
        <v>135</v>
      </c>
      <c r="F39" s="19" t="s">
        <v>73</v>
      </c>
      <c r="K39" s="10">
        <v>7.11</v>
      </c>
      <c r="L39" s="49" t="s">
        <v>73</v>
      </c>
    </row>
    <row r="40" spans="1:13" x14ac:dyDescent="0.25">
      <c r="A40" s="3"/>
      <c r="B40" s="17"/>
      <c r="C40" s="18"/>
      <c r="D40" s="18"/>
      <c r="E40" s="18"/>
      <c r="F40" s="19"/>
    </row>
    <row r="41" spans="1:13" x14ac:dyDescent="0.25">
      <c r="A41" s="3"/>
      <c r="B41" s="17"/>
      <c r="C41" s="18"/>
      <c r="D41" s="18"/>
      <c r="E41" s="18"/>
      <c r="F41" s="19"/>
    </row>
    <row r="42" spans="1:13" x14ac:dyDescent="0.25">
      <c r="A42" s="3"/>
      <c r="B42" s="17"/>
      <c r="C42" s="18"/>
      <c r="D42" s="18"/>
      <c r="E42" s="18"/>
      <c r="F42" s="19"/>
      <c r="G42" s="5"/>
      <c r="H42" s="6"/>
    </row>
    <row r="43" spans="1:13" x14ac:dyDescent="0.25">
      <c r="A43" s="3"/>
      <c r="B43" s="17"/>
      <c r="C43" s="18"/>
      <c r="D43" s="18"/>
      <c r="E43" s="18"/>
      <c r="F43" s="19"/>
      <c r="G43" s="5"/>
      <c r="H43" s="6"/>
    </row>
    <row r="44" spans="1:13" x14ac:dyDescent="0.25">
      <c r="A44" s="3"/>
      <c r="B44" s="17"/>
      <c r="C44" s="18"/>
      <c r="D44" s="18"/>
      <c r="E44" s="18"/>
      <c r="F44" s="19"/>
      <c r="G44" s="5"/>
      <c r="H44" s="6"/>
    </row>
    <row r="45" spans="1:13" x14ac:dyDescent="0.25">
      <c r="A45" s="3"/>
      <c r="B45" s="17"/>
      <c r="C45" s="18"/>
      <c r="D45" s="18"/>
      <c r="E45" s="18"/>
      <c r="F45" s="19"/>
      <c r="G45" s="5" cm="1">
        <f t="array" ref="G45">SUM(G22:G44*A22:A44)</f>
        <v>35.166999999999994</v>
      </c>
      <c r="H45" s="6" t="s">
        <v>222</v>
      </c>
      <c r="I45" s="93" cm="1">
        <f t="array" ref="I45">SUM(I22:I44*A22:A44)</f>
        <v>46.980000000000004</v>
      </c>
      <c r="J45" s="25" t="s">
        <v>222</v>
      </c>
      <c r="K45" s="10" cm="1">
        <f t="array" ref="K45">SUM(K22:K44*A22:A44)</f>
        <v>40.936</v>
      </c>
      <c r="L45" s="11" t="s">
        <v>222</v>
      </c>
    </row>
    <row r="46" spans="1:13" x14ac:dyDescent="0.25">
      <c r="A46" s="3"/>
      <c r="B46" s="17"/>
      <c r="C46" s="18"/>
      <c r="D46" s="18"/>
      <c r="E46" s="18"/>
      <c r="F46" s="19"/>
      <c r="G46" s="5"/>
      <c r="H46" s="6"/>
    </row>
    <row r="47" spans="1:13" x14ac:dyDescent="0.25">
      <c r="A47" s="3"/>
      <c r="B47" s="17"/>
      <c r="C47" s="18"/>
      <c r="D47" s="18"/>
      <c r="E47" s="18"/>
      <c r="F47" s="19"/>
      <c r="G47" s="5"/>
      <c r="H47" s="6"/>
    </row>
    <row r="48" spans="1:13" x14ac:dyDescent="0.25">
      <c r="A48" s="3"/>
      <c r="B48" s="17"/>
      <c r="C48" s="18"/>
      <c r="D48" s="18"/>
      <c r="E48" s="18"/>
      <c r="F48" s="19"/>
      <c r="G48" s="5"/>
      <c r="H48" s="6"/>
    </row>
    <row r="49" spans="1:6" x14ac:dyDescent="0.25">
      <c r="A49" s="3"/>
      <c r="B49" s="17"/>
      <c r="C49" s="18"/>
      <c r="D49" s="18"/>
      <c r="E49" s="18"/>
      <c r="F49" s="19"/>
    </row>
    <row r="50" spans="1:6" x14ac:dyDescent="0.25">
      <c r="A50" s="3"/>
      <c r="B50" s="17"/>
      <c r="C50" s="18"/>
      <c r="D50" s="18"/>
      <c r="E50" s="18"/>
      <c r="F50" s="19"/>
    </row>
    <row r="51" spans="1:6" x14ac:dyDescent="0.25">
      <c r="A51" s="3"/>
      <c r="B51" s="17"/>
      <c r="C51" s="18"/>
      <c r="D51" s="18"/>
      <c r="E51" s="18"/>
      <c r="F51" s="19"/>
    </row>
    <row r="52" spans="1:6" x14ac:dyDescent="0.25">
      <c r="A52" s="3"/>
      <c r="B52" s="17"/>
      <c r="C52" s="18"/>
      <c r="D52" s="18"/>
      <c r="E52" s="18"/>
      <c r="F52" s="19"/>
    </row>
    <row r="53" spans="1:6" x14ac:dyDescent="0.25">
      <c r="A53" s="3"/>
      <c r="B53" s="17"/>
      <c r="C53" s="18"/>
      <c r="D53" s="18"/>
      <c r="E53" s="18"/>
      <c r="F53" s="19"/>
    </row>
    <row r="54" spans="1:6" x14ac:dyDescent="0.25">
      <c r="A54" s="3"/>
      <c r="B54" s="17"/>
      <c r="C54" s="18"/>
      <c r="D54" s="18"/>
      <c r="E54" s="18"/>
      <c r="F54" s="19"/>
    </row>
    <row r="55" spans="1:6" x14ac:dyDescent="0.25">
      <c r="A55" s="3"/>
      <c r="B55" s="17"/>
      <c r="C55" s="18"/>
      <c r="D55" s="18"/>
      <c r="E55" s="18"/>
      <c r="F55" s="19"/>
    </row>
    <row r="56" spans="1:6" x14ac:dyDescent="0.25">
      <c r="A56" s="3"/>
      <c r="B56" s="17"/>
      <c r="C56" s="18"/>
      <c r="D56" s="18"/>
      <c r="E56" s="18"/>
      <c r="F56" s="19"/>
    </row>
    <row r="57" spans="1:6" x14ac:dyDescent="0.25">
      <c r="A57" s="3"/>
      <c r="B57" s="17"/>
      <c r="C57" s="18"/>
      <c r="D57" s="18"/>
      <c r="E57" s="18"/>
      <c r="F57" s="19"/>
    </row>
    <row r="58" spans="1:6" x14ac:dyDescent="0.25">
      <c r="A58" s="3"/>
      <c r="B58" s="17"/>
      <c r="C58" s="18"/>
      <c r="D58" s="18"/>
      <c r="E58" s="18"/>
      <c r="F58" s="19"/>
    </row>
    <row r="59" spans="1:6" x14ac:dyDescent="0.25">
      <c r="A59" s="3"/>
      <c r="B59" s="17"/>
      <c r="C59" s="18"/>
      <c r="D59" s="18"/>
      <c r="E59" s="18"/>
      <c r="F59" s="19"/>
    </row>
    <row r="60" spans="1:6" x14ac:dyDescent="0.25">
      <c r="A60" s="3"/>
      <c r="B60" s="17"/>
      <c r="C60" s="18"/>
      <c r="D60" s="18"/>
      <c r="E60" s="18"/>
      <c r="F60" s="19"/>
    </row>
    <row r="61" spans="1:6" x14ac:dyDescent="0.25">
      <c r="A61" s="3"/>
      <c r="B61" s="17"/>
      <c r="C61" s="18"/>
      <c r="D61" s="18"/>
      <c r="E61" s="18"/>
      <c r="F61" s="19"/>
    </row>
    <row r="62" spans="1:6" x14ac:dyDescent="0.25">
      <c r="A62" s="3"/>
      <c r="B62" s="17"/>
      <c r="C62" s="18"/>
      <c r="D62" s="18"/>
      <c r="E62" s="18"/>
      <c r="F62" s="19"/>
    </row>
  </sheetData>
  <mergeCells count="9">
    <mergeCell ref="K1:L1"/>
    <mergeCell ref="F1:F2"/>
    <mergeCell ref="E1:E2"/>
    <mergeCell ref="D1:D2"/>
    <mergeCell ref="C1:C2"/>
    <mergeCell ref="B1:B2"/>
    <mergeCell ref="A1:A2"/>
    <mergeCell ref="G1:H1"/>
    <mergeCell ref="I1:J1"/>
  </mergeCells>
  <hyperlinks>
    <hyperlink ref="L3" r:id="rId1" tooltip="04025C104KAT2A; Kondensator: ceramiczny; MLCC; 100nF; 50V; X7R; ±10%; SMD; 0402" display="https://www.tme.eu/pl/details/04025c104kat2a/kondensatory-mlcc-smd/kyocera-avx/" xr:uid="{4885974C-EAC2-4390-9084-66DCF3F94398}"/>
    <hyperlink ref="L4" r:id="rId2" tooltip="08055A330KAT2A; Kondensator: ceramiczny; MLCC; 33pF; 50V; C0G (NP0); ±10%; SMD; 0805" display="https://www.tme.eu/pl/details/08055a330kat2a/kondensatory-mlcc-smd/kyocera-avx/" xr:uid="{9659AA44-270D-431A-A289-50A81AD770A4}"/>
    <hyperlink ref="L5" r:id="rId3" tooltip="08055C272KAT2A; Kondensator: ceramiczny; MLCC; 2,7nF; 50V; X7R; ±10%; SMD; 0805" display="https://www.tme.eu/pl/details/08055c272kat2a/kondensatory-mlcc-smd/kyocera-avx/" xr:uid="{142D3154-2386-49DF-A592-404D8AAADC76}"/>
    <hyperlink ref="L6" r:id="rId4" tooltip="08055C103KAT2A; Kondensator: ceramiczny; MLCC; 10nF; 50V; X7R; ±10%; SMD; 0805; 180mm" display="https://www.tme.eu/pl/details/08055c103kat2a/kondensatory-mlcc-smd/kyocera-avx/" xr:uid="{45B4083D-BB8D-4A7E-9E07-9CD897794663}"/>
    <hyperlink ref="L7" r:id="rId5" tooltip="08055C104KAT2A; Kondensator: ceramiczny; MLCC; 100nF; 50V; X7R; ±10%; SMD; 0805" display="https://www.tme.eu/pl/details/08055c104kat2a/kondensatory-mlcc-smd/kyocera-avx/" xr:uid="{45EA87DF-341D-46F4-A557-37C621F7FB9E}"/>
    <hyperlink ref="L8" r:id="rId6" tooltip="08055C105KAT2A; Kondensator: ceramiczny; MLCC; 1uF; 50V; X7R; ±10%; SMD; 0805; 180mm" display="https://www.tme.eu/pl/details/08055c105kat2a/kondensatory-mlcc-smd/kyocera-avx/" xr:uid="{6F29A1C0-8487-46FB-8CF9-347D5BEF139F}"/>
    <hyperlink ref="L9" r:id="rId7" tooltip="SMD0402-1K-1%; Rezystor: thick film; SMD; 0402; 1kΩ; 62,5mW; ±1%; 50V; -55÷155°C" display="https://www.tme.eu/pl/details/smd0402-1k-1%25/rezystory-smd/royalohm-royal-electronic-fty-co/0402wgf1001tce/" xr:uid="{97F55E05-2B20-442B-AEB1-809D416188F8}"/>
    <hyperlink ref="L10" r:id="rId8" tooltip="SMD0402-2K2-1%; Rezystor: thick film; SMD; 0402; 2,2kΩ; 62,5mW; ±1%; 50V; -55÷155°C" display="https://www.tme.eu/pl/details/smd0402-2k2-1%25/rezystory-smd/royalohm-royal-electronic-fty-co/0402wgf2201tce/" xr:uid="{1C464DE2-8872-421C-ABF6-1E0809C3ADC0}"/>
    <hyperlink ref="L11" r:id="rId9" tooltip="SMD0402-10K-1%; Rezystor: thick film; SMD; 0402; 10kΩ; 62,5mW; ±1%; 50V; -55÷155°C" display="https://www.tme.eu/pl/details/smd0402-10k-1%25/rezystory-smd/royalohm-royal-electronic-fty-co/0402wgf1002tce/" xr:uid="{BF022DEA-E44A-4696-AEDF-9B81EAD9D586}"/>
    <hyperlink ref="L12" r:id="rId10" tooltip="SMD0402-15K-1%; Rezystor: thick film; SMD; 0402; 15kΩ; 62,5mW; ±1%; 50V; -55÷155°C" display="https://www.tme.eu/pl/details/smd0402-15k-1%25/rezystory-smd/royalohm-royal-electronic-fty-co/0402wgf1502tce/" xr:uid="{604852EA-4C25-4D78-96D6-C8A537DEEC45}"/>
    <hyperlink ref="L13" r:id="rId11" tooltip="ERA6AEB1153V; Rezystor: thin film; SMD; 0805; 115kΩ; 125mW; ±0,1%; ERA6AEB" display="https://www.tme.eu/pl/details/era6aeb1153v/rezystory-smd/panasonic-industry-europe-gmbh/" xr:uid="{36E75F8F-3A03-4E74-87DB-53CA2D76579B}"/>
    <hyperlink ref="L14" r:id="rId12" tooltip="SMD0805-22K1-1%; Rezystor: thick film; SMD; 0805; 22,1kΩ; 0,125W; ±1%; 150V" display="https://www.tme.eu/pl/details/smd0805-22k1-1%25/rezystory-smd/royalohm-royal-electronic-fty-co/0805s8f2212t5e/" xr:uid="{F0C989FC-4ECE-4541-A05E-6A4BC7A972E2}"/>
    <hyperlink ref="L15" r:id="rId13" tooltip="SMD0805-15.8K-1%; Rezystor: thick film; SMD; 0805; 15,8kΩ; 0,125W; ±1%; 150V" display="https://www.tme.eu/pl/details/smd0805-15.8k-1%25/rezystory-smd/royalohm-royal-electronic-fty-co/0805s8f1582t5e/" xr:uid="{7C4C7510-0083-4D0F-865E-4EAEF0503E23}"/>
    <hyperlink ref="L28" r:id="rId14" tooltip="MX-503398-1892; Złącze: do kart; microSD; push-push; SMT; złocony; PIN: 8" display="https://www.tme.eu/pl/details/mx-503398-1892/zlacza-do-kart/molex-interconnect-gmbh/503398-1892/" xr:uid="{41CA23C9-5E45-4B42-A43F-DB5DD1D98173}"/>
    <hyperlink ref="L30" r:id="rId15" tooltip="MX-48393-0003; Złącze: USB A; gniazdo; na PCB; THT; PIN: 9; kątowe 90°; USB 3.0" display="https://www.tme.eu/pl/details/mx-48393-0003/zlacza-usb-i-ieee1394/molex-interconnect-gmbh/48393-0003/" xr:uid="{161B6C06-7D9A-45B4-BF83-73704FC9DED8}"/>
    <hyperlink ref="L31" r:id="rId16" tooltip="SM04B-SRSS-TB; Złącze: przewód-płytka; gniazdo; męskie; 1A; 50V; PIN: 4; SMT; 1mm" display="https://www.tme.eu/pl/details/sm04b-srss-tb/zlacza-sygnalowe-raster-1-00mm/jst-j-s-t-deutschland-gmbh/sm04b-srss-tb-lf-sn/" xr:uid="{3D8DF4B1-A5E0-4057-8DF8-11559C4C671D}"/>
    <hyperlink ref="L35" r:id="rId17" tooltip="KMR221GLFS; Mikroprzełącznik TACT; SPST-NO; Poz: 2; 0,05A/32VDC; SMT; brak; 2N" display="https://www.tme.eu/pl/details/kmr221glfs/mikroprzelaczniki-tact/c-k-components-sas/kmr221g-lfs/" xr:uid="{EAA54C82-4C4B-4288-905D-0922D34023A7}"/>
    <hyperlink ref="L36" r:id="rId18" tooltip="AP22653W6-7; IC: power switch; high-side,USB switch; 2,1A; Ch: 1; P-Channel; SMD" display="https://www.tme.eu/pl/details/ap22653w6-7/power-switches-uklady-scalone/diodes-incorporated/" xr:uid="{FF8D462A-C868-44BB-B1D5-1A366A87E4F5}"/>
    <hyperlink ref="L39" r:id="rId19" tooltip="AP64501SP-13; PMIC; przetwornica DC/DC; Uwej: 3,8÷40VDC; Uwyj: 0,8÷39VDC; 5A" display="https://www.tme.eu/pl/details/ap64501sp-13/regulatory-napiecia-uklady-dc-dc/diodes-incorporated/" xr:uid="{10A6E3B6-37C2-44D7-AFE5-8AFBEA13385A}"/>
    <hyperlink ref="J25" r:id="rId20" display="https://pl.farnell.com/rohm/sml-a12u8tt86/led-red-63mcd-620nm/dp/3434715" xr:uid="{A970F2E6-E1F2-4E0F-98EA-FA206F9EAFCF}"/>
    <hyperlink ref="J26" r:id="rId21" display="https://pl.farnell.com/rohm/sml-a12m8tt86/led-yellow-green-25mcd-572nm/dp/3434712" xr:uid="{7802DEB3-204E-4ABA-961C-4F6A1132A234}"/>
    <hyperlink ref="J27" r:id="rId22" display="https://pl.farnell.com/hirose-hrs/fh12-22s-1sh-55/connector-fpc-ffc-smt-1mm-22way/dp/2300373" xr:uid="{2E5F5143-20FC-4EDA-AB34-37D1813E1E25}"/>
    <hyperlink ref="J32" r:id="rId23" display="https://pl.farnell.com/molex/46765-1301/hdmi-connector-rcpt-19pos-smt/dp/2614867" xr:uid="{AA8128CA-C977-4D15-B623-590B9BFA43EF}"/>
    <hyperlink ref="J33" r:id="rId24" display="https://pl.farnell.com/bourns/srn8040ha-3r6m/power-inductor-3-6uh-semishielded/dp/4216300" xr:uid="{7B881564-C6BD-4CCD-A913-C9153C4C340D}"/>
    <hyperlink ref="J34" r:id="rId25" display="https://pl.farnell.com/amphenol-communications-solutions/10164227-1001a1rlf/mezzanine-conn-rcpt-100pos-2row/dp/4137104" xr:uid="{73121110-59FA-434A-8294-90F79030B990}"/>
    <hyperlink ref="J37" r:id="rId26" display="https://pl.farnell.com/richtek/rt9742sngv/uswi00154-rt9742sngv/dp/2575555" xr:uid="{746A18AA-1BD9-473D-9F8E-CD14E6D67E1E}"/>
    <hyperlink ref="L23" r:id="rId27" tooltip="TAJB226K016R; Kondensator: tantalowy; 22uF; 16VDC; SMD; B; 1411; ±10%; -55÷125°C" display="https://www.tme.eu/pl/details/tajb226k016r/kondensatory-tantalowe-smd/kyocera-avx/tajb226k016rnj/" xr:uid="{BFB3CDCE-FB8D-439E-889C-E25F481A5F25}"/>
    <hyperlink ref="L24" r:id="rId28" tooltip="TAJD106K035R; Kondensator: tantalowy; 10uF; 35VDC; SMD; D; 2917; ±10%; -55÷125°C" display="https://www.tme.eu/pl/details/tajd106k035r/kondensatory-tantalowe-smd/kyocera-avx/tajd106k035rnj/" xr:uid="{EBEDD7EE-3AC1-4E25-B6D1-C8C39A8169D6}"/>
    <hyperlink ref="L22" r:id="rId29" tooltip="TAJC106K035R; Kondensator: tantalowy; 10uF; 35VDC; SMD; C; 2312; ±10%; -55÷125°C" display="https://www.tme.eu/pl/details/tajc106k035r/kondensatory-tantalowe-smd/kyocera-avx/tajc106k035rnj/" xr:uid="{D12A82B9-B504-47BD-970E-CB9A33596A1F}"/>
    <hyperlink ref="L29" r:id="rId30" tooltip="USB4105-GF-A-060; Złącze: USB C; gniazdo; SMT; PIN: 16; pozioma; top board mount; 5A" display="https://www.tme.eu/pl/details/usb4105-gf-a-060/zlacza-usb-i-ieee1394/gct/" xr:uid="{C2863D6E-F34C-4C0F-A08C-B8F9C53E4CE4}"/>
    <hyperlink ref="L17" r:id="rId31" tooltip="ZL303-2X40P; Złącze: kołkowe; listwa kołkowa; męskie; PIN: 80; THT; proste; 2mm" display="https://www.tme.eu/pl/details/zl303-2x40p/listwy-i-gniazda-kolkowe/connfly/ds1025-05-2x40p8bv1-b/" xr:uid="{740D48C3-340C-4E38-A3F2-F7D2BCD4DDE8}"/>
    <hyperlink ref="H38" r:id="rId32" xr:uid="{D78F53E7-C810-432B-90F6-50B4EFA47F8A}"/>
    <hyperlink ref="H33" r:id="rId33" xr:uid="{4506F438-F78B-4807-9DB8-B96491D639F1}"/>
    <hyperlink ref="H32" r:id="rId34" xr:uid="{0DD2681C-B852-43A0-93A8-1BDA7C1A7B80}"/>
    <hyperlink ref="H27" r:id="rId35" xr:uid="{F1C61B49-A252-441F-99F2-4E76A87558F1}"/>
    <hyperlink ref="H34" r:id="rId36" display="DF40C-100DS-0.4V(51)" xr:uid="{236B2014-34E9-4339-94F8-870F059483AE}"/>
    <hyperlink ref="H37" r:id="rId37" xr:uid="{D38265A8-7155-483A-A751-D36348DE3503}"/>
    <hyperlink ref="H25" r:id="rId38" xr:uid="{648F9DD1-59B7-454C-A8BD-19F2BA8224D4}"/>
    <hyperlink ref="H26" r:id="rId39" xr:uid="{DBC48131-1D65-499C-8B76-4E59D1299CE0}"/>
    <hyperlink ref="L18" r:id="rId40" xr:uid="{09BA8893-4495-41E7-88F8-697E23A941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77EF-52DC-42F4-B76B-4C113CCCA2E8}">
  <dimension ref="A1:Y50"/>
  <sheetViews>
    <sheetView topLeftCell="C1" zoomScaleNormal="100" workbookViewId="0">
      <selection activeCell="E31" sqref="E31"/>
    </sheetView>
  </sheetViews>
  <sheetFormatPr defaultRowHeight="15" x14ac:dyDescent="0.25"/>
  <cols>
    <col min="1" max="1" width="6.28515625" style="4" customWidth="1"/>
    <col min="2" max="2" width="14" customWidth="1"/>
    <col min="3" max="3" width="21.28515625" customWidth="1"/>
    <col min="4" max="4" width="33.7109375" customWidth="1"/>
    <col min="5" max="5" width="34.7109375" customWidth="1"/>
    <col min="6" max="6" width="21.5703125" customWidth="1"/>
    <col min="7" max="7" width="11.42578125" style="13" customWidth="1"/>
    <col min="8" max="8" width="21" style="20" customWidth="1"/>
    <col min="9" max="9" width="11.42578125" style="8" customWidth="1"/>
    <col min="10" max="10" width="11.42578125" style="25" customWidth="1"/>
    <col min="11" max="11" width="9.85546875" style="10" customWidth="1"/>
    <col min="12" max="12" width="30.140625" style="11" customWidth="1"/>
    <col min="13" max="13" width="16.85546875" customWidth="1"/>
  </cols>
  <sheetData>
    <row r="1" spans="1:25" x14ac:dyDescent="0.25">
      <c r="A1" s="79" t="s">
        <v>207</v>
      </c>
      <c r="B1" s="77" t="s">
        <v>1</v>
      </c>
      <c r="C1" s="75" t="s">
        <v>2</v>
      </c>
      <c r="D1" s="75" t="s">
        <v>3</v>
      </c>
      <c r="E1" s="75" t="s">
        <v>99</v>
      </c>
      <c r="F1" s="87" t="s">
        <v>120</v>
      </c>
      <c r="G1" s="81" t="s">
        <v>132</v>
      </c>
      <c r="H1" s="82"/>
      <c r="I1" s="83" t="s">
        <v>134</v>
      </c>
      <c r="J1" s="84"/>
      <c r="K1" s="85" t="s">
        <v>133</v>
      </c>
      <c r="L1" s="86"/>
    </row>
    <row r="2" spans="1:25" ht="15.75" thickBot="1" x14ac:dyDescent="0.3">
      <c r="A2" s="80"/>
      <c r="B2" s="89"/>
      <c r="C2" s="90"/>
      <c r="D2" s="90"/>
      <c r="E2" s="90"/>
      <c r="F2" s="91"/>
      <c r="G2" s="26" t="s">
        <v>121</v>
      </c>
      <c r="H2" s="22" t="s">
        <v>131</v>
      </c>
      <c r="I2" s="27" t="s">
        <v>121</v>
      </c>
      <c r="J2" s="23" t="s">
        <v>131</v>
      </c>
      <c r="K2" s="52" t="s">
        <v>121</v>
      </c>
      <c r="L2" s="53" t="s">
        <v>131</v>
      </c>
      <c r="M2" t="s">
        <v>219</v>
      </c>
    </row>
    <row r="3" spans="1:25" x14ac:dyDescent="0.25">
      <c r="A3" s="28">
        <v>1</v>
      </c>
      <c r="B3" s="29" t="s">
        <v>36</v>
      </c>
      <c r="C3" s="30" t="s">
        <v>37</v>
      </c>
      <c r="D3" s="30" t="s">
        <v>85</v>
      </c>
      <c r="E3" s="30" t="s">
        <v>179</v>
      </c>
      <c r="F3" s="31" t="s">
        <v>135</v>
      </c>
      <c r="G3" s="32"/>
      <c r="H3" s="33"/>
      <c r="I3" s="34"/>
      <c r="J3" s="35"/>
      <c r="K3" s="36"/>
      <c r="L3" s="37"/>
      <c r="N3" s="1">
        <f>M3*K3</f>
        <v>0</v>
      </c>
    </row>
    <row r="4" spans="1:25" x14ac:dyDescent="0.25">
      <c r="A4" s="3">
        <v>1</v>
      </c>
      <c r="B4" s="17" t="s">
        <v>141</v>
      </c>
      <c r="C4" s="18" t="s">
        <v>31</v>
      </c>
      <c r="D4" s="18" t="s">
        <v>165</v>
      </c>
      <c r="E4" s="15" t="s">
        <v>135</v>
      </c>
      <c r="F4" s="19" t="s">
        <v>135</v>
      </c>
      <c r="N4" s="1">
        <f t="shared" ref="N4:N9" si="0">M4*K4</f>
        <v>0</v>
      </c>
    </row>
    <row r="5" spans="1:25" x14ac:dyDescent="0.25">
      <c r="A5" s="2">
        <v>4</v>
      </c>
      <c r="B5" s="14" t="s">
        <v>221</v>
      </c>
      <c r="C5" s="15" t="s">
        <v>151</v>
      </c>
      <c r="D5" s="15" t="s">
        <v>78</v>
      </c>
      <c r="E5" s="15" t="s">
        <v>135</v>
      </c>
      <c r="F5" s="16" t="s">
        <v>135</v>
      </c>
      <c r="G5" s="12"/>
      <c r="H5" s="21"/>
      <c r="J5" s="24"/>
      <c r="K5" s="10">
        <v>0.2472</v>
      </c>
      <c r="L5" s="49" t="s">
        <v>195</v>
      </c>
      <c r="M5">
        <v>50</v>
      </c>
      <c r="N5" s="1">
        <f t="shared" si="0"/>
        <v>12.36</v>
      </c>
    </row>
    <row r="6" spans="1:25" x14ac:dyDescent="0.25">
      <c r="A6" s="3">
        <v>10</v>
      </c>
      <c r="B6" s="17" t="s">
        <v>144</v>
      </c>
      <c r="C6" s="18" t="s">
        <v>157</v>
      </c>
      <c r="D6" s="18" t="s">
        <v>93</v>
      </c>
      <c r="E6" s="15" t="s">
        <v>135</v>
      </c>
      <c r="F6" s="19" t="s">
        <v>135</v>
      </c>
      <c r="K6" s="10">
        <v>4.9700000000000001E-2</v>
      </c>
      <c r="L6" s="49" t="s">
        <v>205</v>
      </c>
      <c r="M6">
        <v>100</v>
      </c>
      <c r="N6" s="1">
        <f t="shared" si="0"/>
        <v>4.97</v>
      </c>
    </row>
    <row r="7" spans="1:25" x14ac:dyDescent="0.25">
      <c r="A7" s="3">
        <v>1</v>
      </c>
      <c r="B7" s="17" t="s">
        <v>145</v>
      </c>
      <c r="C7" s="18" t="s">
        <v>53</v>
      </c>
      <c r="D7" s="18" t="s">
        <v>93</v>
      </c>
      <c r="E7" s="15" t="s">
        <v>135</v>
      </c>
      <c r="F7" s="19" t="s">
        <v>135</v>
      </c>
      <c r="K7" s="10">
        <v>5.6160000000000002E-2</v>
      </c>
      <c r="L7" s="49" t="s">
        <v>204</v>
      </c>
      <c r="M7">
        <v>100</v>
      </c>
      <c r="N7" s="1">
        <f t="shared" si="0"/>
        <v>5.6160000000000005</v>
      </c>
    </row>
    <row r="8" spans="1:25" x14ac:dyDescent="0.25">
      <c r="A8" s="3">
        <v>2</v>
      </c>
      <c r="B8" s="17" t="s">
        <v>146</v>
      </c>
      <c r="C8" s="18" t="s">
        <v>158</v>
      </c>
      <c r="D8" s="18" t="s">
        <v>93</v>
      </c>
      <c r="E8" s="15" t="s">
        <v>135</v>
      </c>
      <c r="F8" s="19" t="s">
        <v>135</v>
      </c>
      <c r="K8" s="10">
        <v>5.9389999999999998E-2</v>
      </c>
      <c r="L8" s="49" t="s">
        <v>203</v>
      </c>
      <c r="M8">
        <v>100</v>
      </c>
      <c r="N8" s="1">
        <f t="shared" si="0"/>
        <v>5.9390000000000001</v>
      </c>
    </row>
    <row r="9" spans="1:25" ht="15.75" thickBot="1" x14ac:dyDescent="0.3">
      <c r="A9" s="38">
        <v>3</v>
      </c>
      <c r="B9" s="39" t="s">
        <v>147</v>
      </c>
      <c r="C9" s="40" t="s">
        <v>159</v>
      </c>
      <c r="D9" s="40" t="s">
        <v>93</v>
      </c>
      <c r="E9" s="48" t="s">
        <v>135</v>
      </c>
      <c r="F9" s="41" t="s">
        <v>135</v>
      </c>
      <c r="G9" s="42"/>
      <c r="H9" s="43"/>
      <c r="I9" s="44"/>
      <c r="J9" s="45"/>
      <c r="K9" s="46">
        <v>4.9700000000000001E-2</v>
      </c>
      <c r="L9" s="54" t="s">
        <v>206</v>
      </c>
      <c r="M9">
        <v>100</v>
      </c>
      <c r="N9" s="1">
        <f t="shared" si="0"/>
        <v>4.97</v>
      </c>
    </row>
    <row r="10" spans="1:25" ht="15.75" thickBot="1" x14ac:dyDescent="0.3">
      <c r="A10" s="67"/>
      <c r="B10" s="68"/>
      <c r="C10" s="69"/>
      <c r="D10" s="69"/>
      <c r="E10" s="69"/>
      <c r="F10" s="70"/>
      <c r="G10" s="71"/>
      <c r="H10" s="69"/>
      <c r="I10" s="71"/>
      <c r="J10" s="70"/>
      <c r="K10" s="71"/>
      <c r="L10" s="72"/>
      <c r="M10" t="s">
        <v>220</v>
      </c>
      <c r="N10" s="1">
        <f>SUM(N3:N9)</f>
        <v>33.854999999999997</v>
      </c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</row>
    <row r="11" spans="1:25" x14ac:dyDescent="0.25">
      <c r="A11" s="2">
        <v>2</v>
      </c>
      <c r="B11" s="14" t="s">
        <v>136</v>
      </c>
      <c r="C11" s="15" t="s">
        <v>210</v>
      </c>
      <c r="D11" s="15" t="s">
        <v>77</v>
      </c>
      <c r="E11" s="15" t="s">
        <v>135</v>
      </c>
      <c r="F11" s="16" t="s">
        <v>135</v>
      </c>
      <c r="G11" s="12"/>
      <c r="H11" s="21"/>
      <c r="I11" s="7"/>
      <c r="J11" s="24"/>
      <c r="K11" s="9">
        <v>1.681</v>
      </c>
      <c r="L11" s="57" t="s">
        <v>208</v>
      </c>
    </row>
    <row r="12" spans="1:25" x14ac:dyDescent="0.25">
      <c r="A12" s="3">
        <v>2</v>
      </c>
      <c r="B12" s="17" t="s">
        <v>137</v>
      </c>
      <c r="C12" s="18" t="s">
        <v>211</v>
      </c>
      <c r="D12" s="18" t="s">
        <v>163</v>
      </c>
      <c r="E12" s="15" t="s">
        <v>135</v>
      </c>
      <c r="F12" s="19" t="s">
        <v>135</v>
      </c>
      <c r="K12" s="10">
        <v>1.478</v>
      </c>
      <c r="L12" s="49" t="s">
        <v>209</v>
      </c>
    </row>
    <row r="13" spans="1:25" x14ac:dyDescent="0.25">
      <c r="A13" s="2">
        <v>2</v>
      </c>
      <c r="B13" s="14" t="s">
        <v>138</v>
      </c>
      <c r="C13" s="15" t="s">
        <v>152</v>
      </c>
      <c r="D13" s="15" t="s">
        <v>164</v>
      </c>
      <c r="E13" s="15" t="s">
        <v>135</v>
      </c>
      <c r="F13" s="15" t="s">
        <v>152</v>
      </c>
      <c r="I13" s="7"/>
      <c r="J13" s="24"/>
      <c r="K13" s="10">
        <v>0.98399999999999999</v>
      </c>
      <c r="L13" s="49" t="s">
        <v>182</v>
      </c>
    </row>
    <row r="14" spans="1:25" x14ac:dyDescent="0.25">
      <c r="A14" s="3">
        <v>2</v>
      </c>
      <c r="B14" s="17" t="s">
        <v>139</v>
      </c>
      <c r="C14" s="18" t="s">
        <v>23</v>
      </c>
      <c r="D14" s="18" t="s">
        <v>79</v>
      </c>
      <c r="E14" s="18" t="s">
        <v>102</v>
      </c>
      <c r="F14" s="19" t="s">
        <v>122</v>
      </c>
      <c r="K14" s="9">
        <v>0.14940000000000001</v>
      </c>
      <c r="L14" s="57" t="s">
        <v>226</v>
      </c>
      <c r="M14" t="s">
        <v>216</v>
      </c>
    </row>
    <row r="15" spans="1:25" x14ac:dyDescent="0.25">
      <c r="A15" s="3">
        <v>1</v>
      </c>
      <c r="B15" s="17" t="s">
        <v>140</v>
      </c>
      <c r="C15" s="18" t="s">
        <v>25</v>
      </c>
      <c r="D15" s="18" t="s">
        <v>79</v>
      </c>
      <c r="E15" s="18" t="s">
        <v>103</v>
      </c>
      <c r="F15" s="19" t="s">
        <v>123</v>
      </c>
      <c r="K15" s="10">
        <v>0.1215</v>
      </c>
      <c r="L15" s="49" t="s">
        <v>227</v>
      </c>
    </row>
    <row r="16" spans="1:25" x14ac:dyDescent="0.25">
      <c r="A16" s="3">
        <v>1</v>
      </c>
      <c r="B16" s="17" t="s">
        <v>26</v>
      </c>
      <c r="C16" s="18" t="s">
        <v>39</v>
      </c>
      <c r="D16" s="18" t="s">
        <v>86</v>
      </c>
      <c r="E16" s="15" t="s">
        <v>135</v>
      </c>
      <c r="F16" s="19"/>
      <c r="K16" s="10">
        <v>2.5059999999999998</v>
      </c>
      <c r="L16" s="49" t="s">
        <v>228</v>
      </c>
    </row>
    <row r="17" spans="1:12" x14ac:dyDescent="0.25">
      <c r="A17" s="3">
        <v>1</v>
      </c>
      <c r="B17" s="17" t="s">
        <v>30</v>
      </c>
      <c r="C17" s="18" t="s">
        <v>153</v>
      </c>
      <c r="D17" s="18" t="s">
        <v>235</v>
      </c>
      <c r="E17" s="15" t="s">
        <v>135</v>
      </c>
      <c r="F17" s="19" t="s">
        <v>234</v>
      </c>
      <c r="K17" s="10">
        <v>1.0509999999999999</v>
      </c>
      <c r="L17" s="49" t="s">
        <v>233</v>
      </c>
    </row>
    <row r="18" spans="1:12" x14ac:dyDescent="0.25">
      <c r="A18" s="3">
        <v>1</v>
      </c>
      <c r="B18" s="17" t="s">
        <v>34</v>
      </c>
      <c r="C18" s="18" t="s">
        <v>154</v>
      </c>
      <c r="D18" s="18" t="s">
        <v>166</v>
      </c>
      <c r="E18" s="15" t="s">
        <v>135</v>
      </c>
      <c r="F18" s="19" t="s">
        <v>180</v>
      </c>
      <c r="K18" s="10">
        <v>0.92500000000000004</v>
      </c>
      <c r="L18" s="49" t="s">
        <v>183</v>
      </c>
    </row>
    <row r="19" spans="1:12" x14ac:dyDescent="0.25">
      <c r="A19" s="3">
        <v>2</v>
      </c>
      <c r="B19" s="17" t="s">
        <v>178</v>
      </c>
      <c r="C19" s="18"/>
      <c r="D19" s="18" t="s">
        <v>167</v>
      </c>
      <c r="E19" s="15" t="s">
        <v>135</v>
      </c>
      <c r="F19" s="19" t="s">
        <v>181</v>
      </c>
      <c r="K19" s="10">
        <v>2.25</v>
      </c>
      <c r="L19" s="49" t="s">
        <v>184</v>
      </c>
    </row>
    <row r="20" spans="1:12" x14ac:dyDescent="0.25">
      <c r="A20" s="3">
        <v>2</v>
      </c>
      <c r="B20" s="17" t="s">
        <v>142</v>
      </c>
      <c r="C20" s="18" t="s">
        <v>155</v>
      </c>
      <c r="D20" s="18" t="s">
        <v>168</v>
      </c>
      <c r="E20" s="15" t="s">
        <v>135</v>
      </c>
      <c r="F20" s="19" t="s">
        <v>155</v>
      </c>
      <c r="K20" s="10">
        <v>1.236</v>
      </c>
      <c r="L20" s="49" t="s">
        <v>155</v>
      </c>
    </row>
    <row r="21" spans="1:12" x14ac:dyDescent="0.25">
      <c r="A21" s="3">
        <v>2</v>
      </c>
      <c r="B21" s="17" t="s">
        <v>143</v>
      </c>
      <c r="C21" s="18" t="s">
        <v>156</v>
      </c>
      <c r="D21" s="18" t="s">
        <v>168</v>
      </c>
      <c r="E21" s="15" t="s">
        <v>135</v>
      </c>
      <c r="F21" s="19"/>
    </row>
    <row r="22" spans="1:12" x14ac:dyDescent="0.25">
      <c r="A22" s="3">
        <v>3</v>
      </c>
      <c r="B22" s="17" t="s">
        <v>173</v>
      </c>
      <c r="C22" s="18"/>
      <c r="D22" s="18" t="s">
        <v>94</v>
      </c>
      <c r="E22" s="15" t="s">
        <v>135</v>
      </c>
      <c r="F22" s="19" t="s">
        <v>129</v>
      </c>
      <c r="K22" s="10">
        <v>1.0469999999999999</v>
      </c>
      <c r="L22" s="49" t="s">
        <v>176</v>
      </c>
    </row>
    <row r="23" spans="1:12" x14ac:dyDescent="0.25">
      <c r="A23" s="3">
        <v>1</v>
      </c>
      <c r="B23" s="17" t="s">
        <v>148</v>
      </c>
      <c r="C23" s="18" t="s">
        <v>160</v>
      </c>
      <c r="D23" s="18" t="s">
        <v>169</v>
      </c>
      <c r="E23" s="15" t="s">
        <v>135</v>
      </c>
      <c r="F23" s="19" t="s">
        <v>160</v>
      </c>
      <c r="K23" s="10">
        <v>23.4</v>
      </c>
      <c r="L23" s="49" t="s">
        <v>185</v>
      </c>
    </row>
    <row r="24" spans="1:12" x14ac:dyDescent="0.25">
      <c r="A24" s="3">
        <v>1</v>
      </c>
      <c r="B24" s="17" t="s">
        <v>149</v>
      </c>
      <c r="C24" s="18" t="s">
        <v>161</v>
      </c>
      <c r="D24" s="18" t="s">
        <v>170</v>
      </c>
      <c r="E24" s="15" t="s">
        <v>135</v>
      </c>
      <c r="F24" t="s">
        <v>172</v>
      </c>
      <c r="G24" s="13">
        <v>18.75</v>
      </c>
      <c r="H24" s="73" t="s">
        <v>237</v>
      </c>
      <c r="K24" s="10">
        <v>0</v>
      </c>
      <c r="L24" s="11" t="s">
        <v>135</v>
      </c>
    </row>
    <row r="25" spans="1:12" x14ac:dyDescent="0.25">
      <c r="A25" s="3">
        <v>2</v>
      </c>
      <c r="B25" s="17" t="s">
        <v>150</v>
      </c>
      <c r="C25" s="18" t="s">
        <v>162</v>
      </c>
      <c r="D25" s="18" t="s">
        <v>171</v>
      </c>
      <c r="E25" s="15" t="s">
        <v>135</v>
      </c>
      <c r="F25" s="18" t="s">
        <v>162</v>
      </c>
      <c r="K25" s="10">
        <v>1.5349999999999999</v>
      </c>
      <c r="L25" s="49" t="s">
        <v>186</v>
      </c>
    </row>
    <row r="26" spans="1:12" x14ac:dyDescent="0.25">
      <c r="A26" s="3">
        <v>1</v>
      </c>
      <c r="B26" s="17"/>
      <c r="C26" s="18"/>
      <c r="D26" s="18"/>
      <c r="E26" s="18" t="s">
        <v>236</v>
      </c>
      <c r="F26" t="s">
        <v>242</v>
      </c>
      <c r="G26" s="13">
        <v>3.41</v>
      </c>
      <c r="H26" s="73" t="s">
        <v>242</v>
      </c>
    </row>
    <row r="27" spans="1:12" x14ac:dyDescent="0.25">
      <c r="A27" s="3"/>
      <c r="B27" s="17"/>
      <c r="C27" s="18"/>
      <c r="D27" s="18"/>
      <c r="E27" s="18"/>
      <c r="F27" s="19"/>
    </row>
    <row r="28" spans="1:12" x14ac:dyDescent="0.25">
      <c r="A28" s="3"/>
      <c r="B28" s="17"/>
      <c r="C28" s="18"/>
      <c r="D28" s="18"/>
      <c r="E28" s="18"/>
      <c r="F28" s="19"/>
    </row>
    <row r="29" spans="1:12" x14ac:dyDescent="0.25">
      <c r="A29" s="3"/>
      <c r="B29" s="17"/>
      <c r="C29" s="18"/>
      <c r="D29" s="18"/>
      <c r="E29" s="18"/>
      <c r="F29" s="19"/>
    </row>
    <row r="30" spans="1:12" x14ac:dyDescent="0.25">
      <c r="A30" s="3"/>
      <c r="B30" s="17"/>
      <c r="C30" s="18"/>
      <c r="D30" s="18"/>
      <c r="E30" s="18"/>
      <c r="F30" s="19"/>
    </row>
    <row r="31" spans="1:12" x14ac:dyDescent="0.25">
      <c r="A31" s="3"/>
      <c r="B31" s="17"/>
      <c r="C31" s="18"/>
      <c r="D31" s="18"/>
      <c r="E31" s="18"/>
      <c r="F31" s="19"/>
    </row>
    <row r="32" spans="1:12" x14ac:dyDescent="0.25">
      <c r="A32" s="3"/>
      <c r="B32" s="17"/>
      <c r="C32" s="18"/>
      <c r="D32" s="18"/>
      <c r="E32" s="18"/>
      <c r="F32" s="19"/>
      <c r="G32" s="5" cm="1">
        <f t="array" ref="G32">SUM(G11:G30*A11:A30)</f>
        <v>22.16</v>
      </c>
      <c r="H32" s="6" t="s">
        <v>222</v>
      </c>
      <c r="K32" s="10" cm="1">
        <f t="array" ref="K32">SUM(K11:K30*A11:A30)</f>
        <v>49.771299999999997</v>
      </c>
      <c r="L32" s="11" t="s">
        <v>222</v>
      </c>
    </row>
    <row r="33" spans="1:6" x14ac:dyDescent="0.25">
      <c r="A33" s="3"/>
      <c r="B33" s="17"/>
      <c r="C33" s="18"/>
      <c r="D33" s="18"/>
      <c r="E33" s="18"/>
      <c r="F33" s="19"/>
    </row>
    <row r="34" spans="1:6" x14ac:dyDescent="0.25">
      <c r="A34" s="3"/>
      <c r="B34" s="17"/>
      <c r="C34" s="18"/>
      <c r="D34" s="18"/>
      <c r="E34" s="18"/>
      <c r="F34" s="19"/>
    </row>
    <row r="35" spans="1:6" x14ac:dyDescent="0.25">
      <c r="A35" s="3"/>
      <c r="B35" s="17"/>
      <c r="C35" s="18"/>
      <c r="D35" s="18"/>
      <c r="E35" s="18"/>
      <c r="F35" s="19"/>
    </row>
    <row r="36" spans="1:6" x14ac:dyDescent="0.25">
      <c r="A36" s="3"/>
      <c r="B36" s="17"/>
      <c r="C36" s="18"/>
      <c r="D36" s="18"/>
      <c r="E36" s="18"/>
      <c r="F36" s="19"/>
    </row>
    <row r="37" spans="1:6" x14ac:dyDescent="0.25">
      <c r="A37" s="3"/>
      <c r="B37" s="17"/>
      <c r="C37" s="18"/>
      <c r="D37" s="18"/>
      <c r="E37" s="18"/>
      <c r="F37" s="19"/>
    </row>
    <row r="38" spans="1:6" x14ac:dyDescent="0.25">
      <c r="A38" s="3"/>
      <c r="B38" s="17"/>
      <c r="C38" s="18"/>
      <c r="D38" s="18"/>
      <c r="E38" s="18"/>
      <c r="F38" s="19"/>
    </row>
    <row r="39" spans="1:6" x14ac:dyDescent="0.25">
      <c r="A39" s="3"/>
      <c r="B39" s="17"/>
      <c r="C39" s="18"/>
      <c r="D39" s="18"/>
      <c r="E39" s="18"/>
      <c r="F39" s="19"/>
    </row>
    <row r="40" spans="1:6" x14ac:dyDescent="0.25">
      <c r="A40" s="3"/>
      <c r="B40" s="17"/>
      <c r="C40" s="18"/>
      <c r="D40" s="18"/>
      <c r="E40" s="18"/>
      <c r="F40" s="19"/>
    </row>
    <row r="41" spans="1:6" x14ac:dyDescent="0.25">
      <c r="A41" s="3"/>
      <c r="B41" s="17"/>
      <c r="C41" s="18"/>
      <c r="D41" s="18"/>
      <c r="E41" s="18"/>
      <c r="F41" s="19"/>
    </row>
    <row r="42" spans="1:6" x14ac:dyDescent="0.25">
      <c r="A42" s="3"/>
      <c r="B42" s="17"/>
      <c r="C42" s="18"/>
      <c r="D42" s="18"/>
      <c r="E42" s="18"/>
      <c r="F42" s="19"/>
    </row>
    <row r="43" spans="1:6" x14ac:dyDescent="0.25">
      <c r="A43" s="3"/>
      <c r="B43" s="17"/>
      <c r="C43" s="18"/>
      <c r="D43" s="18"/>
      <c r="E43" s="18"/>
      <c r="F43" s="19"/>
    </row>
    <row r="44" spans="1:6" x14ac:dyDescent="0.25">
      <c r="A44" s="3"/>
      <c r="B44" s="17"/>
      <c r="C44" s="18"/>
      <c r="D44" s="18"/>
      <c r="E44" s="18"/>
      <c r="F44" s="19"/>
    </row>
    <row r="45" spans="1:6" x14ac:dyDescent="0.25">
      <c r="A45" s="3"/>
      <c r="B45" s="17"/>
      <c r="C45" s="18"/>
      <c r="D45" s="18"/>
      <c r="E45" s="18"/>
      <c r="F45" s="19"/>
    </row>
    <row r="46" spans="1:6" x14ac:dyDescent="0.25">
      <c r="A46" s="3"/>
      <c r="B46" s="17"/>
      <c r="C46" s="18"/>
      <c r="D46" s="18"/>
      <c r="E46" s="18"/>
      <c r="F46" s="19"/>
    </row>
    <row r="47" spans="1:6" x14ac:dyDescent="0.25">
      <c r="A47" s="3"/>
      <c r="B47" s="17"/>
      <c r="C47" s="18"/>
      <c r="D47" s="18"/>
      <c r="E47" s="18"/>
      <c r="F47" s="19"/>
    </row>
    <row r="48" spans="1:6" x14ac:dyDescent="0.25">
      <c r="A48" s="3"/>
      <c r="B48" s="17"/>
      <c r="C48" s="18"/>
      <c r="D48" s="18"/>
      <c r="E48" s="18"/>
      <c r="F48" s="19"/>
    </row>
    <row r="49" spans="1:6" x14ac:dyDescent="0.25">
      <c r="A49" s="3"/>
      <c r="B49" s="17"/>
      <c r="C49" s="18"/>
      <c r="D49" s="18"/>
      <c r="E49" s="18"/>
      <c r="F49" s="19"/>
    </row>
    <row r="50" spans="1:6" x14ac:dyDescent="0.25">
      <c r="A50" s="3"/>
      <c r="B50" s="17"/>
      <c r="C50" s="18"/>
      <c r="D50" s="18"/>
      <c r="E50" s="18"/>
      <c r="F50" s="19"/>
    </row>
  </sheetData>
  <mergeCells count="9">
    <mergeCell ref="G1:H1"/>
    <mergeCell ref="I1:J1"/>
    <mergeCell ref="K1:L1"/>
    <mergeCell ref="A1:A2"/>
    <mergeCell ref="B1:B2"/>
    <mergeCell ref="C1:C2"/>
    <mergeCell ref="D1:D2"/>
    <mergeCell ref="E1:E2"/>
    <mergeCell ref="F1:F2"/>
  </mergeCells>
  <hyperlinks>
    <hyperlink ref="L8" r:id="rId1" tooltip="SMD0805-5K1-1%; Rezystor: thick film; SMD; 0805; 5,1kΩ; 0,125W; ±1%; 150V; -55÷125°C" display="https://www.tme.eu/pl/details/smd0805-5k1-1%25/rezystory-smd/royalohm-royal-electronic-fty-co/0805s8f5101t5e/" xr:uid="{BBF25ED9-4C74-4D6E-BC1F-CA270744987A}"/>
    <hyperlink ref="L7" r:id="rId2" tooltip="SMD0805-2K2-1%; Rezystor: thick film; SMD; 0805; 2,2kΩ; 0,125W; ±1%; 150V; -55÷125°C" display="https://www.tme.eu/pl/details/smd0805-2k2-1%25/rezystory-smd/royalohm-royal-electronic-fty-co/0805s8f2201t5e/" xr:uid="{E1470327-685B-431B-BCB7-A120AD03B5CB}"/>
    <hyperlink ref="L6" r:id="rId3" tooltip="SMD0805-1K-1%; Rezystor: thick film; SMD; 0805; 1kΩ; 0,125W; ±1%; 150V; -55÷125°C" display="https://www.tme.eu/pl/details/smd0805-1k-1%25/rezystory-smd/royalohm-royal-electronic-fty-co/0805s8f1001t5e/" xr:uid="{BEFD5134-3995-4FF2-873C-77CDD55BD2C4}"/>
    <hyperlink ref="L5" r:id="rId4" tooltip="08055C474K4T2A; Kondensator: ceramiczny; MLCC; 470nF; 50V; X7R; ±10%; SMD; 0805" display="https://www.tme.eu/pl/details/08055c474k4t2a/kondensatory-mlcc-smd/kyocera-avx/" xr:uid="{E89DC87F-DF85-4DC3-8843-187CFE5259E9}"/>
    <hyperlink ref="L9" r:id="rId5" tooltip="SMD0805-10K-1%; Rezystor: thick film; SMD; 0805; 10kΩ; 0,125W; ±1%; 150V; -55÷125°C" display="https://www.tme.eu/pl/details/smd0805-10k-1%25/rezystory-smd/royalohm-royal-electronic-fty-co/0805s8f1002t5e/" xr:uid="{FBE16875-EF76-491D-ABA0-11A882E94FC6}"/>
    <hyperlink ref="L13" r:id="rId6" tooltip="MBR1020VL-AU-R1; Dioda: prostownicza Schottky; SOD123F; SMD; 20V; 1A; rolka,taśma" display="https://www.tme.eu/pl/details/mbr1020vl-au-r1/diody-schottky-smd/panjit-semiconductor-panjit-international-inc/mbr1020vl-au-r1-000a1/" xr:uid="{A0047D2D-5F9E-455D-8209-D634D4EE13DD}"/>
    <hyperlink ref="L14" r:id="rId7" tooltip="LTST-C190KRKT; LED; czerwony; SMD; 0603; 18÷180mcd; 1,6÷2,4VDC; 1,6x0,8x0,8mm" display="https://www.tme.eu/pl/details/ltst-c190krkt/diody-led-smd-kolorowe/lite-on-technology/" xr:uid="{323C6E20-A245-4FFF-9A77-3B266CA16295}"/>
    <hyperlink ref="L15" r:id="rId8" tooltip="LTST-C190KGKT; LED; zielony; SMD; 0603; 18÷71mcd; 1,9÷2,4VDC; 1,6x0,8x0,8mm; 130°" display="https://www.tme.eu/pl/details/ltst-c190kgkt/diody-led-smd-kolorowe/lite-on-technology/" xr:uid="{C8E5E74A-2D5E-4713-8DAC-508AA38D50D5}"/>
    <hyperlink ref="L18" r:id="rId9" tooltip="MX-53048-0210; Złącze: przewód-płytka; gniazdo; męskie; PIN: 2; PicoBlade™; THT" display="https://www.tme.eu/pl/details/mx-53048-0210/zlacza-sygnalowe-raster-1-25mm/molex-interconnect-gmbh/53048-0210/" xr:uid="{2FF8517A-7638-445D-B16A-C54A9C0E30C2}"/>
    <hyperlink ref="L19" r:id="rId10" tooltip="MX-53048-0810; Złącze: przewód-płytka; gniazdo; męskie; PIN: 8; PicoBlade™; THT" display="https://www.tme.eu/pl/details/mx-53048-0810/zlacza-sygnalowe-raster-1-25mm/molex-interconnect-gmbh/53048-0810/" xr:uid="{73E29112-7FEB-4BB3-81BC-64FBA43E7FD3}"/>
    <hyperlink ref="L20" r:id="rId11" tooltip="AO3401A; Tranzystor: P-MOSFET; unipolarny; -30V; -4A; 1,4W; SOT23" display="https://www.tme.eu/pl/details/ao3401a/tranzystory-z-kanalem-p-smd/alpha-omega-semiconductor-inc/" xr:uid="{E8F71310-8785-4870-96A1-58C869082172}"/>
    <hyperlink ref="L22" r:id="rId12" tooltip="KMR221GLFS; Mikroprzełącznik TACT; SPST-NO; Poz: 2; 0,05A/32VDC; SMT; brak; 2N" display="https://www.tme.eu/pl/details/kmr221glfs/mikroprzelaczniki-tact/c-k-components-sas/kmr221g-lfs/" xr:uid="{5CA423C8-A7FC-4735-8747-162D36AE1DDC}"/>
    <hyperlink ref="L23" r:id="rId13" tooltip="ESP32S3-WRM1U-16R8; Moduł: IoT; Bluetooth: BLE; WiFi; zewnętrzna; IEEE 802.11b/g/n" display="https://www.tme.eu/pl/details/esp32s3-wrm1u-16r8/moduly-iot-wifi-bluetooth/espressif-systems/esp32-s3-wroom-1u-n16r8/" xr:uid="{D9EF05AA-AF83-4597-BDF8-BA137CBB6E85}"/>
    <hyperlink ref="L25" r:id="rId14" tooltip="AP7361C-33E-13; IC: stabilizator napięcia; LDO,liniowy,nieregulowany; 3,3V; 1A" display="https://www.tme.eu/pl/details/ap7361c-33e-13/stabilizatory-napiecia-nieregulowane-ldo/diodes-incorporated/" xr:uid="{B6837D71-21FA-4114-82ED-638BCE656B89}"/>
    <hyperlink ref="L11" r:id="rId15" tooltip="TAJB475K035R; Kondensator: tantalowy; 4,7uF; 35VDC; SMD; B; 1411; ±10%; -55÷125°C" display="https://www.tme.eu/pl/details/tajb475k035r/kondensatory-tantalowe-smd/kyocera-avx/tajb475k035rnj/" xr:uid="{733D9C56-D9FD-40D8-B935-70D7303A755D}"/>
    <hyperlink ref="L12" r:id="rId16" tooltip="TAJA475K010R; Kondensator: tantalowy; 4,7uF; 10VDC; SMD; A; 1206; ±10%; -55÷125°C" display="https://www.tme.eu/pl/details/taja475k010r/kondensatory-tantalowe-smd/kyocera-avx/taja475k010rnj/" xr:uid="{9602A5DC-2927-4916-9728-54DC4152DDB1}"/>
    <hyperlink ref="L16" r:id="rId17" tooltip="USB4105-GF-A-060; Złącze: USB C; gniazdo; SMT; PIN: 16; pozioma; top board mount; 5A" display="https://www.tme.eu/pl/details/usb4105-gf-a-060/zlacza-usb-i-ieee1394/gct/" xr:uid="{E6AF3DF7-54A7-43BB-B68B-CA8D5EC857F5}"/>
    <hyperlink ref="L17" r:id="rId18" tooltip="MX-53047-0310; Złącze: przewód-płytka; gniazdo; męskie; PIN: 3; PicoBlade™; proste" display="https://www.tme.eu/pl/details/mx-53047-0310/zlacza-sygnalowe-raster-1-25mm/molex/53047-0310/" xr:uid="{6A3C36BE-6AF7-4D8F-8F50-6A60C563C0A2}"/>
    <hyperlink ref="H24" r:id="rId19" display="Wio-SX1262 " xr:uid="{9CAEFD2C-C782-4CCF-A583-DF19A0BE7BDB}"/>
    <hyperlink ref="H26" r:id="rId20" xr:uid="{5E024DD1-6DC1-4BB2-A0FD-5999C67AD13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53BDD-603F-4060-8AE8-940A823D2E6E}">
  <dimension ref="A1:E11"/>
  <sheetViews>
    <sheetView tabSelected="1" workbookViewId="0">
      <selection activeCell="O11" sqref="O11"/>
    </sheetView>
  </sheetViews>
  <sheetFormatPr defaultRowHeight="15" x14ac:dyDescent="0.25"/>
  <cols>
    <col min="1" max="1" width="34.5703125" customWidth="1"/>
  </cols>
  <sheetData>
    <row r="1" spans="1:5" x14ac:dyDescent="0.25">
      <c r="A1" t="s">
        <v>243</v>
      </c>
      <c r="B1" t="s">
        <v>0</v>
      </c>
    </row>
    <row r="2" spans="1:5" x14ac:dyDescent="0.25">
      <c r="A2" s="74" t="s">
        <v>246</v>
      </c>
      <c r="B2" s="107">
        <v>30</v>
      </c>
    </row>
    <row r="3" spans="1:5" x14ac:dyDescent="0.25">
      <c r="A3" s="74" t="s">
        <v>247</v>
      </c>
      <c r="B3" s="107">
        <v>30</v>
      </c>
    </row>
    <row r="4" spans="1:5" x14ac:dyDescent="0.25">
      <c r="A4" s="74" t="s">
        <v>241</v>
      </c>
      <c r="B4" s="107">
        <v>15</v>
      </c>
    </row>
    <row r="5" spans="1:5" x14ac:dyDescent="0.25">
      <c r="A5" s="74" t="s">
        <v>240</v>
      </c>
      <c r="B5" s="107">
        <v>10</v>
      </c>
    </row>
    <row r="6" spans="1:5" x14ac:dyDescent="0.25">
      <c r="A6" s="74" t="s">
        <v>239</v>
      </c>
      <c r="B6" s="107">
        <v>10</v>
      </c>
    </row>
    <row r="7" spans="1:5" x14ac:dyDescent="0.25">
      <c r="A7" s="74" t="s">
        <v>244</v>
      </c>
      <c r="B7" s="107">
        <v>20</v>
      </c>
    </row>
    <row r="8" spans="1:5" x14ac:dyDescent="0.25">
      <c r="A8" s="74" t="s">
        <v>245</v>
      </c>
      <c r="B8" s="107">
        <v>10</v>
      </c>
    </row>
    <row r="9" spans="1:5" x14ac:dyDescent="0.25">
      <c r="A9" s="74" t="s">
        <v>238</v>
      </c>
      <c r="B9" s="107">
        <v>10</v>
      </c>
    </row>
    <row r="10" spans="1:5" x14ac:dyDescent="0.25">
      <c r="A10" s="74" t="s">
        <v>237</v>
      </c>
      <c r="B10" s="107">
        <v>12</v>
      </c>
      <c r="E10" s="92" t="s">
        <v>248</v>
      </c>
    </row>
    <row r="11" spans="1:5" x14ac:dyDescent="0.25">
      <c r="A11" s="74" t="s">
        <v>242</v>
      </c>
      <c r="B11" s="107">
        <v>14</v>
      </c>
    </row>
  </sheetData>
  <hyperlinks>
    <hyperlink ref="A9" r:id="rId1" xr:uid="{36DBFE1F-CBB7-4A6C-9F4D-1D323B4DDAB8}"/>
    <hyperlink ref="A6" r:id="rId2" xr:uid="{7E1680E9-04A1-42C2-B8E4-1E7B9CCFA71E}"/>
    <hyperlink ref="A5" r:id="rId3" xr:uid="{532463BC-6C0D-4F4D-9A6C-AB7E132D4201}"/>
    <hyperlink ref="A4" r:id="rId4" xr:uid="{1C6B81F5-F3A1-43F4-8705-3116B9E3BB90}"/>
    <hyperlink ref="A7" r:id="rId5" display="DF40C-100DS-0.4V(51)" xr:uid="{4C3B22AB-8DDB-4EFE-B3B3-23CC7C96D794}"/>
    <hyperlink ref="A8" r:id="rId6" xr:uid="{60F9D74B-72EE-49FD-ABD0-5A0BE4254318}"/>
    <hyperlink ref="A2" r:id="rId7" xr:uid="{70DE18DB-856F-422F-AF2E-02990A1B2634}"/>
    <hyperlink ref="A3" r:id="rId8" xr:uid="{878A7467-6179-4A24-8C7C-A3FF18669F9E}"/>
    <hyperlink ref="A10" r:id="rId9" display="Wio-SX1262 " xr:uid="{2F1C45C3-8186-493A-A720-6D54E336F203}"/>
    <hyperlink ref="A11" r:id="rId10" xr:uid="{F7565900-56CA-4D3D-AD5A-A50CDC83F884}"/>
    <hyperlink ref="E10" r:id="rId11" display="https://www.seeedstudio.com/Wio-SX1262-Wireless-Module-p-5981.html" xr:uid="{5FFD0F89-75BC-4585-9D7D-E4C46CD52C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Bottom</vt:lpstr>
      <vt:lpstr>Top</vt:lpstr>
      <vt:lpstr>MOUSER ZAMÓWIENIE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Kądziela</dc:creator>
  <cp:lastModifiedBy>Piotr Kądziela</cp:lastModifiedBy>
  <dcterms:created xsi:type="dcterms:W3CDTF">2026-01-26T15:44:10Z</dcterms:created>
  <dcterms:modified xsi:type="dcterms:W3CDTF">2026-02-11T14:10:18Z</dcterms:modified>
</cp:coreProperties>
</file>